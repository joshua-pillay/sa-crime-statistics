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Wits-User\Desktop\PROJECTS1\sa-crime-statistics\excel\"/>
    </mc:Choice>
  </mc:AlternateContent>
  <xr:revisionPtr revIDLastSave="0" documentId="13_ncr:1_{C717D545-6DA0-4D95-8584-F10B41B111E1}" xr6:coauthVersionLast="47" xr6:coauthVersionMax="47" xr10:uidLastSave="{00000000-0000-0000-0000-000000000000}"/>
  <bookViews>
    <workbookView xWindow="19090" yWindow="-110" windowWidth="19420" windowHeight="10300" activeTab="1" xr2:uid="{9055C6C4-A717-471B-A733-0505477F0345}"/>
  </bookViews>
  <sheets>
    <sheet name="data" sheetId="1" r:id="rId1"/>
    <sheet name="summary" sheetId="3" r:id="rId2"/>
    <sheet name="checklist" sheetId="2" r:id="rId3"/>
  </sheets>
  <definedNames>
    <definedName name="Count_filt">data!$Q$10:$Q$765</definedName>
    <definedName name="Count_original">data!$D$10:$D$849</definedName>
    <definedName name="Count_za">data!$I$10:$I$93</definedName>
    <definedName name="Crime_Category_filt">data!$O$10:$O$765</definedName>
    <definedName name="Crime_Category_original">data!$B$10:$B$849</definedName>
    <definedName name="Crime_Category_za">data!$G$10:$G$93</definedName>
    <definedName name="Discrepancy">data!#REF!</definedName>
    <definedName name="ExternalData_1" localSheetId="0" hidden="1">data!$A$9:$D$849</definedName>
    <definedName name="ExternalData_3" localSheetId="0" hidden="1">data!#REF!</definedName>
    <definedName name="ExternalData_4" localSheetId="0" hidden="1">data!$N$9:$Q$765</definedName>
    <definedName name="Financial_Year_filt">data!$P$10:$P$765</definedName>
    <definedName name="Financial_Year_original">data!$C$10:$C$849</definedName>
    <definedName name="Financial_Year_za">data!$H$10:$H$93</definedName>
    <definedName name="Geography_filt">data!$N$10:$N$765</definedName>
    <definedName name="Geography_original">data!$A$10:$A$849</definedName>
    <definedName name="QualityChecklist">" "</definedName>
    <definedName name="Slicer_Financial_Year">#N/A</definedName>
    <definedName name="SumCount_filt">data!#REF!</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2" l="1"/>
  <c r="J93" i="1"/>
  <c r="K93" i="1" s="1"/>
  <c r="J92" i="1"/>
  <c r="K92" i="1" s="1"/>
  <c r="J91" i="1"/>
  <c r="K91" i="1" s="1"/>
  <c r="J90" i="1"/>
  <c r="K90" i="1" s="1"/>
  <c r="J89" i="1"/>
  <c r="K89" i="1" s="1"/>
  <c r="J88" i="1"/>
  <c r="K88" i="1" s="1"/>
  <c r="J87" i="1"/>
  <c r="K87" i="1" s="1"/>
  <c r="J86" i="1"/>
  <c r="K86" i="1" s="1"/>
  <c r="J85" i="1"/>
  <c r="K85" i="1" s="1"/>
  <c r="J84" i="1"/>
  <c r="K84" i="1" s="1"/>
  <c r="J83" i="1"/>
  <c r="K83" i="1" s="1"/>
  <c r="J82" i="1"/>
  <c r="K82" i="1" s="1"/>
  <c r="J81" i="1"/>
  <c r="K81" i="1" s="1"/>
  <c r="J80" i="1"/>
  <c r="K80" i="1" s="1"/>
  <c r="J79" i="1"/>
  <c r="K79" i="1" s="1"/>
  <c r="J78" i="1"/>
  <c r="K78" i="1" s="1"/>
  <c r="J77" i="1"/>
  <c r="K77" i="1" s="1"/>
  <c r="J76" i="1"/>
  <c r="K76" i="1" s="1"/>
  <c r="J75" i="1"/>
  <c r="K75" i="1" s="1"/>
  <c r="J74" i="1"/>
  <c r="K74" i="1" s="1"/>
  <c r="J73" i="1"/>
  <c r="K73" i="1" s="1"/>
  <c r="J72" i="1"/>
  <c r="K72" i="1" s="1"/>
  <c r="C16" i="2" s="1"/>
  <c r="J71" i="1"/>
  <c r="K71" i="1" s="1"/>
  <c r="J70" i="1"/>
  <c r="K70" i="1" s="1"/>
  <c r="J69" i="1"/>
  <c r="K69" i="1" s="1"/>
  <c r="J68" i="1"/>
  <c r="K68" i="1" s="1"/>
  <c r="J67" i="1"/>
  <c r="K67" i="1" s="1"/>
  <c r="J66" i="1"/>
  <c r="K66" i="1" s="1"/>
  <c r="J65" i="1"/>
  <c r="K65" i="1" s="1"/>
  <c r="J64" i="1"/>
  <c r="K64" i="1" s="1"/>
  <c r="J63" i="1"/>
  <c r="K63" i="1" s="1"/>
  <c r="J62" i="1"/>
  <c r="K62" i="1" s="1"/>
  <c r="J61" i="1"/>
  <c r="K61" i="1" s="1"/>
  <c r="J60" i="1"/>
  <c r="K60" i="1" s="1"/>
  <c r="J59" i="1"/>
  <c r="K59" i="1" s="1"/>
  <c r="J58" i="1"/>
  <c r="K58" i="1" s="1"/>
  <c r="J57" i="1"/>
  <c r="K57" i="1" s="1"/>
  <c r="J56" i="1"/>
  <c r="K56" i="1" s="1"/>
  <c r="C15" i="2" s="1"/>
  <c r="J55" i="1"/>
  <c r="K55" i="1" s="1"/>
  <c r="J54" i="1"/>
  <c r="K54" i="1" s="1"/>
  <c r="J53" i="1"/>
  <c r="K53" i="1" s="1"/>
  <c r="J52" i="1"/>
  <c r="K52" i="1" s="1"/>
  <c r="J51" i="1"/>
  <c r="K51" i="1" s="1"/>
  <c r="J50" i="1"/>
  <c r="K50" i="1" s="1"/>
  <c r="J49" i="1"/>
  <c r="K49" i="1" s="1"/>
  <c r="J48" i="1"/>
  <c r="K48" i="1" s="1"/>
  <c r="J47" i="1"/>
  <c r="K47" i="1" s="1"/>
  <c r="J46" i="1"/>
  <c r="K46" i="1" s="1"/>
  <c r="J45" i="1"/>
  <c r="K45" i="1" s="1"/>
  <c r="J44" i="1"/>
  <c r="K44" i="1" s="1"/>
  <c r="J43" i="1"/>
  <c r="K43" i="1" s="1"/>
  <c r="J42" i="1"/>
  <c r="K42" i="1" s="1"/>
  <c r="J41" i="1"/>
  <c r="K41" i="1" s="1"/>
  <c r="J40" i="1"/>
  <c r="K40" i="1" s="1"/>
  <c r="J39" i="1"/>
  <c r="K39" i="1" s="1"/>
  <c r="J38" i="1"/>
  <c r="K38" i="1" s="1"/>
  <c r="J37" i="1"/>
  <c r="K37" i="1" s="1"/>
  <c r="J36" i="1"/>
  <c r="K36" i="1" s="1"/>
  <c r="J35" i="1"/>
  <c r="K35" i="1" s="1"/>
  <c r="J34" i="1"/>
  <c r="K34" i="1" s="1"/>
  <c r="J33" i="1"/>
  <c r="K33" i="1" s="1"/>
  <c r="J32" i="1"/>
  <c r="K32" i="1" s="1"/>
  <c r="J31" i="1"/>
  <c r="K31" i="1" s="1"/>
  <c r="J30" i="1"/>
  <c r="K30" i="1" s="1"/>
  <c r="J29" i="1"/>
  <c r="K29" i="1" s="1"/>
  <c r="J28" i="1"/>
  <c r="K28" i="1" s="1"/>
  <c r="J27" i="1"/>
  <c r="K27" i="1" s="1"/>
  <c r="J26" i="1"/>
  <c r="K26" i="1" s="1"/>
  <c r="J25" i="1"/>
  <c r="K25" i="1" s="1"/>
  <c r="J24" i="1"/>
  <c r="K24" i="1" s="1"/>
  <c r="J23" i="1"/>
  <c r="K23" i="1" s="1"/>
  <c r="J22" i="1"/>
  <c r="K22" i="1" s="1"/>
  <c r="J21" i="1"/>
  <c r="K21" i="1" s="1"/>
  <c r="J20" i="1"/>
  <c r="K20" i="1" s="1"/>
  <c r="J19" i="1"/>
  <c r="K19" i="1" s="1"/>
  <c r="J18" i="1"/>
  <c r="K18" i="1" s="1"/>
  <c r="J17" i="1"/>
  <c r="K17" i="1" s="1"/>
  <c r="J16" i="1"/>
  <c r="K16" i="1" s="1"/>
  <c r="J15" i="1"/>
  <c r="K15" i="1" s="1"/>
  <c r="J14" i="1"/>
  <c r="K14" i="1" s="1"/>
  <c r="J13" i="1"/>
  <c r="K13" i="1" s="1"/>
  <c r="J12" i="1"/>
  <c r="K12" i="1" s="1"/>
  <c r="J11" i="1"/>
  <c r="K11" i="1" s="1"/>
  <c r="J10" i="1"/>
  <c r="K10"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57CD74-B443-49FA-BBF2-30C14455E939}" keepAlive="1" name="Query - crime_incidents_by_category" description="Connection to the 'crime_incidents_by_category' query in the workbook." type="5" refreshedVersion="8" background="1" saveData="1">
    <dbPr connection="Provider=Microsoft.Mashup.OleDb.1;Data Source=$Workbook$;Location=crime_incidents_by_category;Extended Properties=&quot;&quot;" command="SELECT * FROM [crime_incidents_by_category]"/>
  </connection>
  <connection id="2" xr16:uid="{5A604A54-07E7-49A8-B767-2D59720E41D5}" keepAlive="1" name="Query - crime_incidents_by_category (2)" description="Connection to the 'crime_incidents_by_category (2)' query in the workbook." type="5" refreshedVersion="8" background="1" saveData="1">
    <dbPr connection="Provider=Microsoft.Mashup.OleDb.1;Data Source=$Workbook$;Location=&quot;crime_incidents_by_category (2)&quot;;Extended Properties=&quot;&quot;" command="SELECT * FROM [crime_incidents_by_category (2)]"/>
  </connection>
  <connection id="3" xr16:uid="{7AB7FE41-E3A8-4462-A944-1AD99742E146}" keepAlive="1" name="Query - crime_incidents_by_category (3)" description="Connection to the 'crime_incidents_by_category (3)' query in the workbook." type="5" refreshedVersion="8" background="1" saveData="1">
    <dbPr connection="Provider=Microsoft.Mashup.OleDb.1;Data Source=$Workbook$;Location=&quot;crime_incidents_by_category (3)&quot;;Extended Properties=&quot;&quot;" command="SELECT * FROM [crime_incidents_by_category (3)]"/>
  </connection>
  <connection id="4" xr16:uid="{95E09FB4-1EE6-422C-8EB9-DFC152A337B6}" keepAlive="1" name="Query - crime_incidents_by_category (4)" description="Connection to the 'crime_incidents_by_category (4)' query in the workbook." type="5" refreshedVersion="8" background="1" saveData="1">
    <dbPr connection="Provider=Microsoft.Mashup.OleDb.1;Data Source=$Workbook$;Location=&quot;crime_incidents_by_category (4)&quot;;Extended Properties=&quot;&quot;" command="SELECT * FROM [crime_incidents_by_category (4)]"/>
  </connection>
  <connection id="5" xr16:uid="{43B5BC04-0AC5-4071-BD5C-7449D0F66164}" keepAlive="1" name="Query - crime_incidents_by_category (5)" description="Connection to the 'crime_incidents_by_category (5)' query in the workbook." type="5" refreshedVersion="8" background="1" saveData="1">
    <dbPr connection="Provider=Microsoft.Mashup.OleDb.1;Data Source=$Workbook$;Location=&quot;crime_incidents_by_category (5)&quot;;Extended Properties=&quot;&quot;" command="SELECT * FROM [crime_incidents_by_category (5)]"/>
  </connection>
</connections>
</file>

<file path=xl/sharedStrings.xml><?xml version="1.0" encoding="utf-8"?>
<sst xmlns="http://schemas.openxmlformats.org/spreadsheetml/2006/main" count="5057" uniqueCount="75">
  <si>
    <t xml:space="preserve">Data Quality Inspection </t>
  </si>
  <si>
    <t>Location</t>
  </si>
  <si>
    <t>Value</t>
  </si>
  <si>
    <t>Row count</t>
  </si>
  <si>
    <t>Data labels</t>
  </si>
  <si>
    <t>Duplicate entries</t>
  </si>
  <si>
    <t>Zero entries</t>
  </si>
  <si>
    <t>Blank cells</t>
  </si>
  <si>
    <t>Discrepancies</t>
  </si>
  <si>
    <t>Other</t>
  </si>
  <si>
    <t>Data structure</t>
  </si>
  <si>
    <t>Original Dataset</t>
  </si>
  <si>
    <t>Geography</t>
  </si>
  <si>
    <t>Crime Category</t>
  </si>
  <si>
    <t>Financial Year</t>
  </si>
  <si>
    <t>Count</t>
  </si>
  <si>
    <t>ZA</t>
  </si>
  <si>
    <t>Contact Crimes</t>
  </si>
  <si>
    <t>2011/2012</t>
  </si>
  <si>
    <t>2012/2013</t>
  </si>
  <si>
    <t>2013/2014</t>
  </si>
  <si>
    <t>2014/2015</t>
  </si>
  <si>
    <t>2015/2016</t>
  </si>
  <si>
    <t>2016/2017</t>
  </si>
  <si>
    <t>2017/2018</t>
  </si>
  <si>
    <t>2018/2019</t>
  </si>
  <si>
    <t>2019/2020</t>
  </si>
  <si>
    <t>2020/2021</t>
  </si>
  <si>
    <t>EC</t>
  </si>
  <si>
    <t>FS</t>
  </si>
  <si>
    <t>GT</t>
  </si>
  <si>
    <t>KZN</t>
  </si>
  <si>
    <t>LIM</t>
  </si>
  <si>
    <t>MP</t>
  </si>
  <si>
    <t>NW</t>
  </si>
  <si>
    <t>NC</t>
  </si>
  <si>
    <t>WC</t>
  </si>
  <si>
    <t>Sexual Offences</t>
  </si>
  <si>
    <t>Aggravated Robberies</t>
  </si>
  <si>
    <t>Contact Related Crimes</t>
  </si>
  <si>
    <t>Property Related Crimes</t>
  </si>
  <si>
    <t>Other Serious Crimes</t>
  </si>
  <si>
    <t>Crimes Detected as a Result of Police Action</t>
  </si>
  <si>
    <t>2021/2022</t>
  </si>
  <si>
    <t>2022/2023</t>
  </si>
  <si>
    <t>Discrepancy</t>
  </si>
  <si>
    <t>SumCount</t>
  </si>
  <si>
    <t>Quality Check</t>
  </si>
  <si>
    <t>Description</t>
  </si>
  <si>
    <t>Inconsistent spelling
and/or grammar</t>
  </si>
  <si>
    <t>Subcategory-level 
workbooks</t>
  </si>
  <si>
    <r>
      <t xml:space="preserve">data' worksheet,
cell K71
(highlighted in </t>
    </r>
    <r>
      <rPr>
        <sz val="12"/>
        <color theme="8" tint="0.39997558519241921"/>
        <rFont val="Aptos Narrow"/>
        <family val="2"/>
        <scheme val="minor"/>
      </rPr>
      <t>pink</t>
    </r>
    <r>
      <rPr>
        <sz val="12"/>
        <color theme="1"/>
        <rFont val="Aptos Narrow"/>
        <family val="2"/>
        <scheme val="minor"/>
      </rPr>
      <t xml:space="preserve">)
</t>
    </r>
  </si>
  <si>
    <r>
      <t xml:space="preserve">• </t>
    </r>
    <r>
      <rPr>
        <i/>
        <sz val="12"/>
        <color theme="1"/>
        <rFont val="Aptos Narrow"/>
        <family val="2"/>
        <scheme val="minor"/>
      </rPr>
      <t>Discrepancy</t>
    </r>
    <r>
      <rPr>
        <sz val="12"/>
        <color theme="1"/>
        <rFont val="Aptos Narrow"/>
        <family val="2"/>
        <scheme val="minor"/>
      </rPr>
      <t>:                                    'data' worksheet, 
  cell K55 
(highlighted in</t>
    </r>
    <r>
      <rPr>
        <sz val="12"/>
        <color theme="5"/>
        <rFont val="Aptos Narrow"/>
        <family val="2"/>
        <scheme val="minor"/>
      </rPr>
      <t xml:space="preserve"> orange</t>
    </r>
    <r>
      <rPr>
        <sz val="12"/>
        <color theme="1"/>
        <rFont val="Aptos Narrow"/>
        <family val="2"/>
        <scheme val="minor"/>
      </rPr>
      <t xml:space="preserve">) 
</t>
    </r>
    <r>
      <rPr>
        <sz val="5"/>
        <color theme="1"/>
        <rFont val="Aptos Narrow"/>
        <family val="2"/>
        <scheme val="minor"/>
      </rPr>
      <t xml:space="preserve">           </t>
    </r>
    <r>
      <rPr>
        <sz val="12"/>
        <color theme="1"/>
        <rFont val="Aptos Narrow"/>
        <family val="2"/>
        <scheme val="minor"/>
      </rPr>
      <t xml:space="preserve">
• </t>
    </r>
    <r>
      <rPr>
        <i/>
        <sz val="12"/>
        <color theme="1"/>
        <rFont val="Aptos Narrow"/>
        <family val="2"/>
        <scheme val="minor"/>
      </rPr>
      <t>Correction</t>
    </r>
    <r>
      <rPr>
        <sz val="12"/>
        <color theme="1"/>
        <rFont val="Aptos Narrow"/>
        <family val="2"/>
        <scheme val="minor"/>
      </rPr>
      <t>:
cell Q55</t>
    </r>
  </si>
  <si>
    <t>• Identified during inspection of subcategory-level workbooks for 'Property Related Crime' category,
   confirmed at category summary level, difference of 588 counts between national figure and 
   province sum;
• 2013/2014 national figure for subcategory 'Theft Out or From Motor Vehicle' appeared lower than 
   the province sum figure;
• Possible source-level discrepancy - taking published value as authoritative figure, so no action taken.</t>
  </si>
  <si>
    <t>Data types</t>
  </si>
  <si>
    <t>Summary</t>
  </si>
  <si>
    <t>Grand Total</t>
  </si>
  <si>
    <t>Sum of Count</t>
  </si>
  <si>
    <t xml:space="preserve">Filtered and Matched Dataset </t>
  </si>
  <si>
    <t>• Identified during inspection of subcategory-level workbooks for 'Crime Detected as a Result of
   Police Action' category, confirmed at category summary level, difference of 190201 counts between
   national figure and province sum;
• Total 2021/2022 national figure (204990 counts) for all provinces erroneously inserted into
   2021/2022 figure for relevant category at EC province level;
• Rectified by inserting correct value of 14789 counts for relevant category at EC province level.</t>
  </si>
  <si>
    <t>Crime Statistics Summary</t>
  </si>
  <si>
    <t>National Figures VS. Province Sum Counts</t>
  </si>
  <si>
    <t>• Several identified across several subcategories in subcategory workbooks, but may be legitmate in the
   context of the crime figures - no crimes may have been reported.
• No action taken.</t>
  </si>
  <si>
    <t>• None identified.</t>
  </si>
  <si>
    <t>None</t>
  </si>
  <si>
    <t>N/A</t>
  </si>
  <si>
    <t>Provincial Breakdown</t>
  </si>
  <si>
    <t>Categorical Breakdown</t>
  </si>
  <si>
    <t>Crime Incidents by Province and Year</t>
  </si>
  <si>
    <t>• Two data types in data: text and integers;
• Text - 'Geography', 'Crime Category', 'Financial Year';
• Integer - 'Count'; not formatted (addressed in subsequent stages in data pipeline.)</t>
  </si>
  <si>
    <r>
      <t xml:space="preserve">• 9 provinces </t>
    </r>
    <r>
      <rPr>
        <sz val="12"/>
        <color theme="1"/>
        <rFont val="Aptos Narrow"/>
        <family val="2"/>
      </rPr>
      <t>× 7 categories × 12 years = 756 data entries.</t>
    </r>
  </si>
  <si>
    <t>The dataset is in good condition, with good consistency and very few mistakes/errors. The only mistakes present in the data are two discrepancies in crime count (incorrect user input and source-level). Changes to be made in the subsequent data cleaning steps include the renaming of column labels, province entries, category entries, and parsing year entries to 4-character integers.</t>
  </si>
  <si>
    <t>• Original dataset consists of four variables: three dimensions and one measure, and is inclusive of the
    national figures for each crime category and financial year; 840 total row entries.
• National figure counts were extracted and placed in separate dataset, with remaining count figures 
   being sorted (according to labels) in alphabetical and ascending order;
• Filtered dataset serves as main dataset for subsequent phases in data pipeline.</t>
  </si>
  <si>
    <t>• Four data labels in data: 'Geography', 'Crime Category', 'Financial Year', and 'Count':
• 'Geography' - South African province; nine provinces: EC - Eastern Cape, FS - Free State, GT - Gauteng,
                             KZN - KwaZulu-Natal, LIM - Limpopo, MP - Mpumalanga, NC - Northern Cape, NW - North
                             West, WC - Western Cape, ZA - national level; province names in abbreviation form.
• 'Crime Category' - broad crime category; seven categories.
• 'Financial Year' - Fiscal or calender year; spans 12 years (2011/2012 - 2022/2023).
• 'Count' - number of reported crime incidents for specific category and year.
• Changes to be made to labels: 'Geography' to 'province' with province entries mapped to full names,
    'Crime Category' to 'crime_category' with category entries mapped to shortened names , 'Financial
    Year' to 'financial_year' with label entries parsed to integer for first 4 characters, 'Count' to   
    'incident_count'.</t>
  </si>
  <si>
    <t xml:space="preserve">     South African Crime Statistics (2011/2012 - 2022/2023)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</si>
</sst>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b/>
      <sz val="32"/>
      <color theme="0"/>
      <name val="Aptos Narrow"/>
      <family val="2"/>
      <scheme val="minor"/>
    </font>
    <font>
      <sz val="12"/>
      <color theme="1"/>
      <name val="Aptos Narrow"/>
      <family val="2"/>
      <scheme val="minor"/>
    </font>
    <font>
      <sz val="8"/>
      <name val="Aptos Narrow"/>
      <family val="2"/>
      <scheme val="minor"/>
    </font>
    <font>
      <b/>
      <sz val="24"/>
      <color theme="6"/>
      <name val="Aptos Narrow"/>
      <family val="2"/>
      <scheme val="minor"/>
    </font>
    <font>
      <b/>
      <sz val="23"/>
      <color theme="6"/>
      <name val="Aptos Narrow"/>
      <family val="2"/>
      <scheme val="minor"/>
    </font>
    <font>
      <b/>
      <sz val="12"/>
      <color theme="0"/>
      <name val="Aptos Narrow"/>
      <family val="2"/>
      <scheme val="minor"/>
    </font>
    <font>
      <sz val="12"/>
      <color theme="5"/>
      <name val="Aptos Narrow"/>
      <family val="2"/>
      <scheme val="minor"/>
    </font>
    <font>
      <sz val="12"/>
      <name val="Aptos Narrow"/>
      <family val="2"/>
      <scheme val="minor"/>
    </font>
    <font>
      <i/>
      <sz val="12"/>
      <color theme="1"/>
      <name val="Aptos Narrow"/>
      <family val="2"/>
      <scheme val="minor"/>
    </font>
    <font>
      <sz val="12"/>
      <color theme="8" tint="0.39997558519241921"/>
      <name val="Aptos Narrow"/>
      <family val="2"/>
      <scheme val="minor"/>
    </font>
    <font>
      <sz val="5"/>
      <color theme="1"/>
      <name val="Aptos Narrow"/>
      <family val="2"/>
      <scheme val="minor"/>
    </font>
    <font>
      <sz val="12"/>
      <color theme="0"/>
      <name val="Aptos Narrow"/>
      <family val="2"/>
      <scheme val="minor"/>
    </font>
    <font>
      <b/>
      <sz val="20"/>
      <color theme="0"/>
      <name val="Aptos Narrow"/>
      <family val="2"/>
      <scheme val="minor"/>
    </font>
    <font>
      <sz val="20"/>
      <color theme="1"/>
      <name val="Aptos Narrow"/>
      <family val="2"/>
      <scheme val="minor"/>
    </font>
    <font>
      <b/>
      <sz val="20"/>
      <color theme="6"/>
      <name val="Aptos Narrow"/>
      <family val="2"/>
      <scheme val="minor"/>
    </font>
    <font>
      <sz val="14"/>
      <color theme="0"/>
      <name val="Aptos Narrow"/>
      <family val="2"/>
      <scheme val="minor"/>
    </font>
    <font>
      <sz val="12"/>
      <color theme="1"/>
      <name val="Aptos Narrow"/>
      <family val="2"/>
    </font>
  </fonts>
  <fills count="7">
    <fill>
      <patternFill patternType="none"/>
    </fill>
    <fill>
      <patternFill patternType="gray125"/>
    </fill>
    <fill>
      <patternFill patternType="solid">
        <fgColor theme="6"/>
        <bgColor theme="6"/>
      </patternFill>
    </fill>
    <fill>
      <patternFill patternType="solid">
        <fgColor rgb="FFFFC000"/>
        <bgColor indexed="64"/>
      </patternFill>
    </fill>
    <fill>
      <patternFill patternType="solid">
        <fgColor theme="8" tint="0.39997558519241921"/>
        <bgColor indexed="64"/>
      </patternFill>
    </fill>
    <fill>
      <patternFill patternType="solid">
        <fgColor theme="5"/>
        <bgColor indexed="64"/>
      </patternFill>
    </fill>
    <fill>
      <patternFill patternType="solid">
        <fgColor theme="6" tint="-0.49998474074526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6" tint="-0.499984740745262"/>
      </bottom>
      <diagonal/>
    </border>
    <border>
      <left/>
      <right/>
      <top style="thin">
        <color theme="6" tint="-0.499984740745262"/>
      </top>
      <bottom/>
      <diagonal/>
    </border>
    <border>
      <left style="thin">
        <color theme="6" tint="-0.499984740745262"/>
      </left>
      <right/>
      <top style="thin">
        <color theme="6" tint="-0.499984740745262"/>
      </top>
      <bottom/>
      <diagonal/>
    </border>
    <border>
      <left/>
      <right style="thin">
        <color theme="6" tint="-0.499984740745262"/>
      </right>
      <top style="thin">
        <color theme="6" tint="-0.499984740745262"/>
      </top>
      <bottom/>
      <diagonal/>
    </border>
    <border>
      <left style="thin">
        <color theme="6" tint="-0.499984740745262"/>
      </left>
      <right/>
      <top/>
      <bottom style="thin">
        <color theme="6" tint="-0.499984740745262"/>
      </bottom>
      <diagonal/>
    </border>
    <border>
      <left/>
      <right style="thin">
        <color theme="6" tint="-0.499984740745262"/>
      </right>
      <top/>
      <bottom style="thin">
        <color theme="6" tint="-0.499984740745262"/>
      </bottom>
      <diagonal/>
    </border>
  </borders>
  <cellStyleXfs count="1">
    <xf numFmtId="0" fontId="0" fillId="0" borderId="0"/>
  </cellStyleXfs>
  <cellXfs count="43">
    <xf numFmtId="0" fontId="0" fillId="0" borderId="0" xfId="0"/>
    <xf numFmtId="0" fontId="2" fillId="0" borderId="0" xfId="0" applyFont="1"/>
    <xf numFmtId="0" fontId="1" fillId="0" borderId="0" xfId="0" applyFont="1"/>
    <xf numFmtId="0" fontId="5" fillId="0" borderId="0" xfId="0" applyFont="1" applyAlignment="1">
      <alignment vertical="center"/>
    </xf>
    <xf numFmtId="0" fontId="4" fillId="0" borderId="0" xfId="0" applyFont="1" applyAlignment="1">
      <alignment vertical="center"/>
    </xf>
    <xf numFmtId="0" fontId="0" fillId="3" borderId="0" xfId="0" applyFill="1"/>
    <xf numFmtId="0" fontId="6" fillId="0" borderId="0" xfId="0" applyFont="1"/>
    <xf numFmtId="0" fontId="6" fillId="0" borderId="0" xfId="0" applyFont="1" applyAlignment="1">
      <alignment horizontal="center"/>
    </xf>
    <xf numFmtId="0" fontId="0" fillId="4" borderId="0" xfId="0" applyFill="1"/>
    <xf numFmtId="0" fontId="0" fillId="5" borderId="0" xfId="0" applyFill="1"/>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xf numFmtId="0" fontId="2" fillId="0" borderId="1" xfId="0" applyFont="1" applyBorder="1" applyAlignment="1">
      <alignment horizontal="center"/>
    </xf>
    <xf numFmtId="0" fontId="2" fillId="0" borderId="1" xfId="0" quotePrefix="1" applyFont="1" applyBorder="1" applyAlignment="1">
      <alignment horizontal="center" vertical="center" wrapText="1"/>
    </xf>
    <xf numFmtId="0" fontId="6" fillId="2" borderId="1" xfId="0" applyFont="1" applyFill="1" applyBorder="1" applyAlignment="1">
      <alignment horizontal="left"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6" fillId="2" borderId="1" xfId="0" applyFont="1" applyFill="1" applyBorder="1"/>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0" fillId="0" borderId="0" xfId="0" applyAlignment="1">
      <alignment horizontal="center"/>
    </xf>
    <xf numFmtId="0" fontId="14" fillId="0" borderId="0" xfId="0" applyFont="1"/>
    <xf numFmtId="0" fontId="15" fillId="0" borderId="0" xfId="0" applyFont="1" applyAlignment="1">
      <alignment vertical="center"/>
    </xf>
    <xf numFmtId="0" fontId="2" fillId="0" borderId="1" xfId="0" applyFont="1" applyBorder="1" applyAlignment="1">
      <alignment horizontal="left"/>
    </xf>
    <xf numFmtId="0" fontId="2" fillId="0" borderId="1" xfId="0" applyFont="1" applyBorder="1" applyAlignment="1">
      <alignment horizontal="left" vertical="center"/>
    </xf>
    <xf numFmtId="3" fontId="0" fillId="0" borderId="0" xfId="0" applyNumberFormat="1"/>
    <xf numFmtId="3" fontId="2" fillId="0" borderId="1" xfId="0" applyNumberFormat="1" applyFont="1" applyBorder="1" applyAlignment="1">
      <alignment horizontal="center" vertical="center"/>
    </xf>
    <xf numFmtId="0" fontId="1" fillId="6" borderId="0" xfId="0" applyFont="1" applyFill="1" applyAlignment="1">
      <alignment horizontal="center"/>
    </xf>
    <xf numFmtId="0" fontId="2" fillId="0" borderId="1" xfId="0" applyFont="1" applyBorder="1" applyAlignment="1">
      <alignment horizontal="center" vertical="center"/>
    </xf>
    <xf numFmtId="0" fontId="8" fillId="0" borderId="2" xfId="0" applyFont="1" applyBorder="1" applyAlignment="1">
      <alignment horizontal="left" vertical="center" wrapText="1"/>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13" fillId="6" borderId="7" xfId="0" applyFont="1" applyFill="1" applyBorder="1" applyAlignment="1">
      <alignment horizontal="center"/>
    </xf>
    <xf numFmtId="0" fontId="13" fillId="6" borderId="6" xfId="0" applyFont="1" applyFill="1" applyBorder="1" applyAlignment="1">
      <alignment horizontal="center"/>
    </xf>
    <xf numFmtId="0" fontId="13" fillId="6" borderId="8" xfId="0" applyFont="1" applyFill="1" applyBorder="1" applyAlignment="1">
      <alignment horizontal="center"/>
    </xf>
    <xf numFmtId="0" fontId="13" fillId="6" borderId="9" xfId="0" applyFont="1" applyFill="1" applyBorder="1" applyAlignment="1">
      <alignment horizontal="center"/>
    </xf>
    <xf numFmtId="0" fontId="13" fillId="6" borderId="5" xfId="0" applyFont="1" applyFill="1" applyBorder="1" applyAlignment="1">
      <alignment horizontal="center"/>
    </xf>
    <xf numFmtId="0" fontId="13" fillId="6" borderId="10" xfId="0" applyFont="1" applyFill="1" applyBorder="1" applyAlignment="1">
      <alignment horizontal="center"/>
    </xf>
    <xf numFmtId="0" fontId="16" fillId="6" borderId="0" xfId="0" applyFont="1" applyFill="1" applyAlignment="1">
      <alignment horizontal="center"/>
    </xf>
  </cellXfs>
  <cellStyles count="1">
    <cellStyle name="Normal" xfId="0" builtinId="0"/>
  </cellStyles>
  <dxfs count="17">
    <dxf>
      <numFmt numFmtId="3" formatCode="#,##0"/>
    </dxf>
    <dxf>
      <alignment horizontal="center"/>
    </dxf>
    <dxf>
      <numFmt numFmtId="3" formatCode="#,##0"/>
    </dxf>
    <dxf>
      <alignment horizontal="center"/>
    </dxf>
    <dxf>
      <alignment horizontal="center"/>
    </dxf>
    <dxf>
      <numFmt numFmtId="164" formatCode="_-* #,##0_-;\-* #,##0_-;_-* &quot;-&quot;??_-;_-@_-"/>
    </dxf>
    <dxf>
      <numFmt numFmtId="165" formatCode="_-* #,##0.0_-;\-* #,##0.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6"/>
        </bottom>
        <vertical/>
        <horizontal/>
      </border>
    </dxf>
    <dxf>
      <font>
        <sz val="10"/>
        <color theme="1"/>
      </font>
      <fill>
        <patternFill>
          <fgColor theme="9" tint="0.79998168889431442"/>
          <bgColor theme="9" tint="0.79998168889431442"/>
        </patternFill>
      </fill>
      <border>
        <left style="thin">
          <color theme="6"/>
        </left>
        <right style="thin">
          <color theme="6"/>
        </right>
        <top style="thin">
          <color theme="6"/>
        </top>
        <bottom style="thin">
          <color theme="6"/>
        </bottom>
        <vertical/>
        <horizontal/>
      </border>
    </dxf>
  </dxfs>
  <tableStyles count="1" defaultTableStyle="TableStyleMedium2" defaultPivotStyle="PivotStyleLight16">
    <tableStyle name="SlicerStyleDark3 2" pivot="0" table="0" count="10" xr9:uid="{19357D2B-4D5E-48A8-905B-150758999445}">
      <tableStyleElement type="wholeTable" dxfId="16"/>
      <tableStyleElement type="headerRow" dxfId="1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b" anchorCtr="1"/>
          <a:lstStyle/>
          <a:p>
            <a:pPr>
              <a:defRPr sz="1800" b="1" i="0" u="none" strike="noStrike" kern="1200" baseline="0">
                <a:solidFill>
                  <a:schemeClr val="tx1"/>
                </a:solidFill>
                <a:latin typeface="+mn-lt"/>
                <a:ea typeface="+mn-ea"/>
                <a:cs typeface="+mn-cs"/>
              </a:defRPr>
            </a:pPr>
            <a:r>
              <a:rPr lang="en-US" sz="1800">
                <a:solidFill>
                  <a:schemeClr val="tx1"/>
                </a:solidFill>
              </a:rPr>
              <a:t>Total Number of Crime Incidents</a:t>
            </a:r>
            <a:r>
              <a:rPr lang="en-US" sz="1800" baseline="0">
                <a:solidFill>
                  <a:schemeClr val="tx1"/>
                </a:solidFill>
              </a:rPr>
              <a:t> </a:t>
            </a:r>
            <a:r>
              <a:rPr lang="en-US" sz="1800">
                <a:solidFill>
                  <a:schemeClr val="tx1"/>
                </a:solidFill>
              </a:rPr>
              <a:t>by Province</a:t>
            </a:r>
          </a:p>
        </c:rich>
      </c:tx>
      <c:overlay val="1"/>
      <c:spPr>
        <a:noFill/>
        <a:ln>
          <a:noFill/>
        </a:ln>
        <a:effectLst/>
      </c:spPr>
      <c:txPr>
        <a:bodyPr rot="0" spcFirstLastPara="1" vertOverflow="ellipsis" vert="horz" wrap="square" anchor="b"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337615532088156E-2"/>
          <c:y val="0.1802042767909825"/>
          <c:w val="0.89734050192380255"/>
          <c:h val="0.58782252487972808"/>
        </c:manualLayout>
      </c:layout>
      <c:barChart>
        <c:barDir val="col"/>
        <c:grouping val="clustered"/>
        <c:varyColors val="0"/>
        <c:ser>
          <c:idx val="0"/>
          <c:order val="0"/>
          <c:tx>
            <c:v>Total</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EC</c:v>
              </c:pt>
              <c:pt idx="1">
                <c:v>FS</c:v>
              </c:pt>
              <c:pt idx="2">
                <c:v>GT</c:v>
              </c:pt>
              <c:pt idx="3">
                <c:v>KZN</c:v>
              </c:pt>
              <c:pt idx="4">
                <c:v>LIM</c:v>
              </c:pt>
              <c:pt idx="5">
                <c:v>MP</c:v>
              </c:pt>
              <c:pt idx="6">
                <c:v>NC</c:v>
              </c:pt>
              <c:pt idx="7">
                <c:v>NW</c:v>
              </c:pt>
              <c:pt idx="8">
                <c:v>WC</c:v>
              </c:pt>
            </c:strLit>
          </c:cat>
          <c:val>
            <c:numLit>
              <c:formatCode>General</c:formatCode>
              <c:ptCount val="9"/>
              <c:pt idx="0">
                <c:v>2533731</c:v>
              </c:pt>
              <c:pt idx="1">
                <c:v>1422327</c:v>
              </c:pt>
              <c:pt idx="2">
                <c:v>7274899</c:v>
              </c:pt>
              <c:pt idx="3">
                <c:v>4153161</c:v>
              </c:pt>
              <c:pt idx="4">
                <c:v>1492403</c:v>
              </c:pt>
              <c:pt idx="5">
                <c:v>1451499</c:v>
              </c:pt>
              <c:pt idx="6">
                <c:v>606367</c:v>
              </c:pt>
              <c:pt idx="7">
                <c:v>1410042</c:v>
              </c:pt>
              <c:pt idx="8">
                <c:v>5502038</c:v>
              </c:pt>
            </c:numLit>
          </c:val>
          <c:extLst>
            <c:ext xmlns:c16="http://schemas.microsoft.com/office/drawing/2014/chart" uri="{C3380CC4-5D6E-409C-BE32-E72D297353CC}">
              <c16:uniqueId val="{00000000-61D3-496C-AAE8-92E57D4ED45F}"/>
            </c:ext>
          </c:extLst>
        </c:ser>
        <c:dLbls>
          <c:dLblPos val="outEnd"/>
          <c:showLegendKey val="0"/>
          <c:showVal val="1"/>
          <c:showCatName val="0"/>
          <c:showSerName val="0"/>
          <c:showPercent val="0"/>
          <c:showBubbleSize val="0"/>
        </c:dLbls>
        <c:gapWidth val="100"/>
        <c:overlap val="-24"/>
        <c:axId val="1838283184"/>
        <c:axId val="1838278384"/>
      </c:barChart>
      <c:catAx>
        <c:axId val="1838283184"/>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ZA" sz="1400" b="0">
                    <a:solidFill>
                      <a:schemeClr val="tx1"/>
                    </a:solidFill>
                  </a:rPr>
                  <a:t>Geography</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crossAx val="1838278384"/>
        <c:crosses val="autoZero"/>
        <c:auto val="1"/>
        <c:lblAlgn val="ctr"/>
        <c:lblOffset val="100"/>
        <c:noMultiLvlLbl val="0"/>
      </c:catAx>
      <c:valAx>
        <c:axId val="1838278384"/>
        <c:scaling>
          <c:orientation val="minMax"/>
        </c:scaling>
        <c:delete val="0"/>
        <c:axPos val="l"/>
        <c:majorGridlines>
          <c:spPr>
            <a:ln w="9525" cap="flat" cmpd="sng" algn="ctr">
              <a:solidFill>
                <a:schemeClr val="bg2">
                  <a:lumMod val="90000"/>
                  <a:alpha val="76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ZA" sz="1400" b="0">
                    <a:solidFill>
                      <a:schemeClr val="tx1"/>
                    </a:solidFill>
                  </a:rPr>
                  <a:t>Incident</a:t>
                </a:r>
                <a:r>
                  <a:rPr lang="en-ZA" sz="1400" b="0" baseline="0">
                    <a:solidFill>
                      <a:schemeClr val="tx1"/>
                    </a:solidFill>
                  </a:rPr>
                  <a:t> Count</a:t>
                </a:r>
                <a:endParaRPr lang="en-ZA" sz="1400" b="0">
                  <a:solidFill>
                    <a:schemeClr val="tx1"/>
                  </a:solidFill>
                </a:endParaRP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ZA"/>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crossAx val="183828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12700" cap="flat" cmpd="sng" algn="ctr">
      <a:solidFill>
        <a:schemeClr val="accent3">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pivotSource>
    <c:name>[data_profiling.xlsx]summary!crime_incidents_by_category</c:name>
    <c:fmtId val="17"/>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ZA"/>
              <a:t>Number of Crime Incidents by Category</a:t>
            </a:r>
          </a:p>
        </c:rich>
      </c:tx>
      <c:overlay val="1"/>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017795903196109"/>
          <c:y val="0.10865797909478694"/>
          <c:w val="0.59476681386732166"/>
          <c:h val="0.75285471845234153"/>
        </c:manualLayout>
      </c:layout>
      <c:barChart>
        <c:barDir val="bar"/>
        <c:grouping val="clustered"/>
        <c:varyColors val="0"/>
        <c:ser>
          <c:idx val="0"/>
          <c:order val="0"/>
          <c:tx>
            <c:strRef>
              <c:f>summary!$B$42</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summary!$A$43:$A$50</c:f>
              <c:strCache>
                <c:ptCount val="7"/>
                <c:pt idx="0">
                  <c:v>Aggravated Robberies</c:v>
                </c:pt>
                <c:pt idx="1">
                  <c:v>Contact Crimes</c:v>
                </c:pt>
                <c:pt idx="2">
                  <c:v>Contact Related Crimes</c:v>
                </c:pt>
                <c:pt idx="3">
                  <c:v>Crimes Detected as a Result of Police Action</c:v>
                </c:pt>
                <c:pt idx="4">
                  <c:v>Other Serious Crimes</c:v>
                </c:pt>
                <c:pt idx="5">
                  <c:v>Property Related Crimes</c:v>
                </c:pt>
                <c:pt idx="6">
                  <c:v>Sexual Offences</c:v>
                </c:pt>
              </c:strCache>
            </c:strRef>
          </c:cat>
          <c:val>
            <c:numRef>
              <c:f>summary!$B$43:$B$50</c:f>
              <c:numCache>
                <c:formatCode>#,##0</c:formatCode>
                <c:ptCount val="7"/>
                <c:pt idx="0">
                  <c:v>1402749</c:v>
                </c:pt>
                <c:pt idx="1">
                  <c:v>7320647</c:v>
                </c:pt>
                <c:pt idx="2">
                  <c:v>1428725</c:v>
                </c:pt>
                <c:pt idx="3">
                  <c:v>3687220</c:v>
                </c:pt>
                <c:pt idx="4">
                  <c:v>5498899</c:v>
                </c:pt>
                <c:pt idx="5">
                  <c:v>5866331</c:v>
                </c:pt>
                <c:pt idx="6">
                  <c:v>641896</c:v>
                </c:pt>
              </c:numCache>
            </c:numRef>
          </c:val>
          <c:extLst>
            <c:ext xmlns:c16="http://schemas.microsoft.com/office/drawing/2014/chart" uri="{C3380CC4-5D6E-409C-BE32-E72D297353CC}">
              <c16:uniqueId val="{00000000-8297-4701-8548-30C50009A2E2}"/>
            </c:ext>
          </c:extLst>
        </c:ser>
        <c:dLbls>
          <c:dLblPos val="outEnd"/>
          <c:showLegendKey val="0"/>
          <c:showVal val="1"/>
          <c:showCatName val="0"/>
          <c:showSerName val="0"/>
          <c:showPercent val="0"/>
          <c:showBubbleSize val="0"/>
        </c:dLbls>
        <c:gapWidth val="115"/>
        <c:overlap val="-20"/>
        <c:axId val="500402287"/>
        <c:axId val="403954303"/>
      </c:barChart>
      <c:catAx>
        <c:axId val="500402287"/>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ZA" sz="1400" b="0">
                    <a:solidFill>
                      <a:schemeClr val="tx1"/>
                    </a:solidFill>
                  </a:rPr>
                  <a:t>Crime</a:t>
                </a:r>
                <a:r>
                  <a:rPr lang="en-ZA" sz="1400" b="0" baseline="0">
                    <a:solidFill>
                      <a:schemeClr val="tx1"/>
                    </a:solidFill>
                  </a:rPr>
                  <a:t> Category</a:t>
                </a:r>
                <a:endParaRPr lang="en-ZA" sz="1400" b="0">
                  <a:solidFill>
                    <a:schemeClr val="tx1"/>
                  </a:solidFill>
                </a:endParaRP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ZA"/>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crossAx val="403954303"/>
        <c:crosses val="autoZero"/>
        <c:auto val="1"/>
        <c:lblAlgn val="ctr"/>
        <c:lblOffset val="100"/>
        <c:noMultiLvlLbl val="0"/>
      </c:catAx>
      <c:valAx>
        <c:axId val="403954303"/>
        <c:scaling>
          <c:orientation val="minMax"/>
        </c:scaling>
        <c:delete val="0"/>
        <c:axPos val="b"/>
        <c:majorGridlines>
          <c:spPr>
            <a:ln w="9525" cap="flat" cmpd="sng" algn="ctr">
              <a:solidFill>
                <a:schemeClr val="bg2">
                  <a:lumMod val="90000"/>
                  <a:alpha val="7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sz="1400" b="0">
                    <a:solidFill>
                      <a:schemeClr val="tx1"/>
                    </a:solidFill>
                  </a:rPr>
                  <a:t>Incident Count</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crossAx val="500402287"/>
        <c:crosses val="autoZero"/>
        <c:crossBetween val="between"/>
      </c:valAx>
      <c:spPr>
        <a:noFill/>
        <a:ln>
          <a:noFill/>
        </a:ln>
        <a:effectLst/>
      </c:spPr>
    </c:plotArea>
    <c:plotVisOnly val="1"/>
    <c:dispBlanksAs val="gap"/>
    <c:showDLblsOverMax val="0"/>
    <c:extLst/>
  </c:chart>
  <c:spPr>
    <a:solidFill>
      <a:schemeClr val="accent6">
        <a:lumMod val="20000"/>
        <a:lumOff val="80000"/>
      </a:schemeClr>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34636</xdr:colOff>
      <xdr:row>22</xdr:row>
      <xdr:rowOff>19731</xdr:rowOff>
    </xdr:from>
    <xdr:to>
      <xdr:col>14</xdr:col>
      <xdr:colOff>0</xdr:colOff>
      <xdr:row>38</xdr:row>
      <xdr:rowOff>15876</xdr:rowOff>
    </xdr:to>
    <xdr:graphicFrame macro="">
      <xdr:nvGraphicFramePr>
        <xdr:cNvPr id="7" name="Chart 6">
          <a:extLst>
            <a:ext uri="{FF2B5EF4-FFF2-40B4-BE49-F238E27FC236}">
              <a16:creationId xmlns:a16="http://schemas.microsoft.com/office/drawing/2014/main" id="{AE8462FF-474B-CCF2-2FA2-28536D97B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25976</xdr:colOff>
      <xdr:row>51</xdr:row>
      <xdr:rowOff>17316</xdr:rowOff>
    </xdr:from>
    <xdr:to>
      <xdr:col>1</xdr:col>
      <xdr:colOff>821102</xdr:colOff>
      <xdr:row>66</xdr:row>
      <xdr:rowOff>152400</xdr:rowOff>
    </xdr:to>
    <mc:AlternateContent xmlns:mc="http://schemas.openxmlformats.org/markup-compatibility/2006" xmlns:a14="http://schemas.microsoft.com/office/drawing/2010/main">
      <mc:Choice Requires="a14">
        <xdr:graphicFrame macro="">
          <xdr:nvGraphicFramePr>
            <xdr:cNvPr id="2" name="Financial Year">
              <a:extLst>
                <a:ext uri="{FF2B5EF4-FFF2-40B4-BE49-F238E27FC236}">
                  <a16:creationId xmlns:a16="http://schemas.microsoft.com/office/drawing/2014/main" id="{6E76BBDE-C5D7-6839-2084-79168E43C0F3}"/>
                </a:ext>
              </a:extLst>
            </xdr:cNvPr>
            <xdr:cNvGraphicFramePr/>
          </xdr:nvGraphicFramePr>
          <xdr:xfrm>
            <a:off x="0" y="0"/>
            <a:ext cx="0" cy="0"/>
          </xdr:xfrm>
          <a:graphic>
            <a:graphicData uri="http://schemas.microsoft.com/office/drawing/2010/slicer">
              <sle:slicer xmlns:sle="http://schemas.microsoft.com/office/drawing/2010/slicer" name="Financial Year"/>
            </a:graphicData>
          </a:graphic>
        </xdr:graphicFrame>
      </mc:Choice>
      <mc:Fallback xmlns="">
        <xdr:sp macro="" textlink="">
          <xdr:nvSpPr>
            <xdr:cNvPr id="0" name=""/>
            <xdr:cNvSpPr>
              <a:spLocks noTextEdit="1"/>
            </xdr:cNvSpPr>
          </xdr:nvSpPr>
          <xdr:spPr>
            <a:xfrm>
              <a:off x="25976" y="9896103"/>
              <a:ext cx="3477245" cy="24486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74084</xdr:colOff>
      <xdr:row>41</xdr:row>
      <xdr:rowOff>5192</xdr:rowOff>
    </xdr:from>
    <xdr:to>
      <xdr:col>14</xdr:col>
      <xdr:colOff>0</xdr:colOff>
      <xdr:row>66</xdr:row>
      <xdr:rowOff>148167</xdr:rowOff>
    </xdr:to>
    <xdr:graphicFrame macro="">
      <xdr:nvGraphicFramePr>
        <xdr:cNvPr id="3" name="Chart 2">
          <a:extLst>
            <a:ext uri="{FF2B5EF4-FFF2-40B4-BE49-F238E27FC236}">
              <a16:creationId xmlns:a16="http://schemas.microsoft.com/office/drawing/2014/main" id="{5584E33E-9C0C-1197-0113-AD3180D30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127.569895023145" createdVersion="8" refreshedVersion="8" minRefreshableVersion="3" recordCount="756" xr:uid="{396DFDD2-80CE-4180-A5EB-66978BA975A5}">
  <cacheSource type="worksheet">
    <worksheetSource name="crime_incidents_filtered"/>
  </cacheSource>
  <cacheFields count="4">
    <cacheField name="Geography" numFmtId="0">
      <sharedItems count="9">
        <s v="EC"/>
        <s v="FS"/>
        <s v="GT"/>
        <s v="KZN"/>
        <s v="LIM"/>
        <s v="MP"/>
        <s v="NC"/>
        <s v="NW"/>
        <s v="WC"/>
      </sharedItems>
    </cacheField>
    <cacheField name="Crime Category" numFmtId="0">
      <sharedItems count="7">
        <s v="Aggravated Robberies"/>
        <s v="Contact Crimes"/>
        <s v="Contact Related Crimes"/>
        <s v="Crimes Detected as a Result of Police Action"/>
        <s v="Other Serious Crimes"/>
        <s v="Property Related Crimes"/>
        <s v="Sexual Offences"/>
      </sharedItems>
    </cacheField>
    <cacheField name="Financial Year" numFmtId="0">
      <sharedItems count="12">
        <s v="2011/2012"/>
        <s v="2012/2013"/>
        <s v="2013/2014"/>
        <s v="2014/2015"/>
        <s v="2015/2016"/>
        <s v="2016/2017"/>
        <s v="2017/2018"/>
        <s v="2018/2019"/>
        <s v="2019/2020"/>
        <s v="2020/2021"/>
        <s v="2021/2022"/>
        <s v="2022/2023"/>
      </sharedItems>
    </cacheField>
    <cacheField name="Count" numFmtId="0">
      <sharedItems containsSemiMixedTypes="0" containsString="0" containsNumber="1" containsInteger="1" minValue="377" maxValue="181837"/>
    </cacheField>
  </cacheFields>
  <extLst>
    <ext xmlns:x14="http://schemas.microsoft.com/office/spreadsheetml/2009/9/main" uri="{725AE2AE-9491-48be-B2B4-4EB974FC3084}">
      <x14:pivotCacheDefinition pivotCacheId="2044534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6">
  <r>
    <x v="0"/>
    <x v="0"/>
    <x v="0"/>
    <n v="12476"/>
  </r>
  <r>
    <x v="0"/>
    <x v="0"/>
    <x v="1"/>
    <n v="11751"/>
  </r>
  <r>
    <x v="0"/>
    <x v="0"/>
    <x v="2"/>
    <n v="13443"/>
  </r>
  <r>
    <x v="0"/>
    <x v="0"/>
    <x v="3"/>
    <n v="13245"/>
  </r>
  <r>
    <x v="0"/>
    <x v="0"/>
    <x v="4"/>
    <n v="12777"/>
  </r>
  <r>
    <x v="0"/>
    <x v="0"/>
    <x v="5"/>
    <n v="13688"/>
  </r>
  <r>
    <x v="0"/>
    <x v="0"/>
    <x v="6"/>
    <n v="13485"/>
  </r>
  <r>
    <x v="0"/>
    <x v="0"/>
    <x v="7"/>
    <n v="13578"/>
  </r>
  <r>
    <x v="0"/>
    <x v="0"/>
    <x v="8"/>
    <n v="13983"/>
  </r>
  <r>
    <x v="0"/>
    <x v="0"/>
    <x v="9"/>
    <n v="11458"/>
  </r>
  <r>
    <x v="0"/>
    <x v="0"/>
    <x v="10"/>
    <n v="5723"/>
  </r>
  <r>
    <x v="0"/>
    <x v="0"/>
    <x v="11"/>
    <n v="6433"/>
  </r>
  <r>
    <x v="0"/>
    <x v="1"/>
    <x v="0"/>
    <n v="75779"/>
  </r>
  <r>
    <x v="0"/>
    <x v="1"/>
    <x v="1"/>
    <n v="72650"/>
  </r>
  <r>
    <x v="0"/>
    <x v="1"/>
    <x v="2"/>
    <n v="73032"/>
  </r>
  <r>
    <x v="0"/>
    <x v="1"/>
    <x v="3"/>
    <n v="68654"/>
  </r>
  <r>
    <x v="0"/>
    <x v="1"/>
    <x v="4"/>
    <n v="67258"/>
  </r>
  <r>
    <x v="0"/>
    <x v="1"/>
    <x v="5"/>
    <n v="65524"/>
  </r>
  <r>
    <x v="0"/>
    <x v="1"/>
    <x v="6"/>
    <n v="65393"/>
  </r>
  <r>
    <x v="0"/>
    <x v="1"/>
    <x v="7"/>
    <n v="68416"/>
  </r>
  <r>
    <x v="0"/>
    <x v="1"/>
    <x v="8"/>
    <n v="68545"/>
  </r>
  <r>
    <x v="0"/>
    <x v="1"/>
    <x v="9"/>
    <n v="59093"/>
  </r>
  <r>
    <x v="0"/>
    <x v="1"/>
    <x v="10"/>
    <n v="66581"/>
  </r>
  <r>
    <x v="0"/>
    <x v="1"/>
    <x v="11"/>
    <n v="71191"/>
  </r>
  <r>
    <x v="0"/>
    <x v="2"/>
    <x v="0"/>
    <n v="13687"/>
  </r>
  <r>
    <x v="0"/>
    <x v="2"/>
    <x v="1"/>
    <n v="13514"/>
  </r>
  <r>
    <x v="0"/>
    <x v="2"/>
    <x v="2"/>
    <n v="13735"/>
  </r>
  <r>
    <x v="0"/>
    <x v="2"/>
    <x v="3"/>
    <n v="13184"/>
  </r>
  <r>
    <x v="0"/>
    <x v="2"/>
    <x v="4"/>
    <n v="12498"/>
  </r>
  <r>
    <x v="0"/>
    <x v="2"/>
    <x v="5"/>
    <n v="12810"/>
  </r>
  <r>
    <x v="0"/>
    <x v="2"/>
    <x v="6"/>
    <n v="12027"/>
  </r>
  <r>
    <x v="0"/>
    <x v="2"/>
    <x v="7"/>
    <n v="12738"/>
  </r>
  <r>
    <x v="0"/>
    <x v="2"/>
    <x v="8"/>
    <n v="12721"/>
  </r>
  <r>
    <x v="0"/>
    <x v="2"/>
    <x v="9"/>
    <n v="11673"/>
  </r>
  <r>
    <x v="0"/>
    <x v="2"/>
    <x v="10"/>
    <n v="13166"/>
  </r>
  <r>
    <x v="0"/>
    <x v="2"/>
    <x v="11"/>
    <n v="13459"/>
  </r>
  <r>
    <x v="0"/>
    <x v="3"/>
    <x v="0"/>
    <n v="20970"/>
  </r>
  <r>
    <x v="0"/>
    <x v="3"/>
    <x v="1"/>
    <n v="22100"/>
  </r>
  <r>
    <x v="0"/>
    <x v="3"/>
    <x v="2"/>
    <n v="24334"/>
  </r>
  <r>
    <x v="0"/>
    <x v="3"/>
    <x v="3"/>
    <n v="24922"/>
  </r>
  <r>
    <x v="0"/>
    <x v="3"/>
    <x v="4"/>
    <n v="24711"/>
  </r>
  <r>
    <x v="0"/>
    <x v="3"/>
    <x v="5"/>
    <n v="26182"/>
  </r>
  <r>
    <x v="0"/>
    <x v="3"/>
    <x v="6"/>
    <n v="27001"/>
  </r>
  <r>
    <x v="0"/>
    <x v="3"/>
    <x v="7"/>
    <n v="22558"/>
  </r>
  <r>
    <x v="0"/>
    <x v="3"/>
    <x v="8"/>
    <n v="20869"/>
  </r>
  <r>
    <x v="0"/>
    <x v="3"/>
    <x v="9"/>
    <n v="13427"/>
  </r>
  <r>
    <x v="0"/>
    <x v="3"/>
    <x v="10"/>
    <n v="14789"/>
  </r>
  <r>
    <x v="0"/>
    <x v="3"/>
    <x v="11"/>
    <n v="16184"/>
  </r>
  <r>
    <x v="0"/>
    <x v="4"/>
    <x v="0"/>
    <n v="43690"/>
  </r>
  <r>
    <x v="0"/>
    <x v="4"/>
    <x v="1"/>
    <n v="40986"/>
  </r>
  <r>
    <x v="0"/>
    <x v="4"/>
    <x v="2"/>
    <n v="40725"/>
  </r>
  <r>
    <x v="0"/>
    <x v="4"/>
    <x v="3"/>
    <n v="37188"/>
  </r>
  <r>
    <x v="0"/>
    <x v="4"/>
    <x v="4"/>
    <n v="35238"/>
  </r>
  <r>
    <x v="0"/>
    <x v="4"/>
    <x v="5"/>
    <n v="36461"/>
  </r>
  <r>
    <x v="0"/>
    <x v="4"/>
    <x v="6"/>
    <n v="34256"/>
  </r>
  <r>
    <x v="0"/>
    <x v="4"/>
    <x v="7"/>
    <n v="36271"/>
  </r>
  <r>
    <x v="0"/>
    <x v="4"/>
    <x v="8"/>
    <n v="37480"/>
  </r>
  <r>
    <x v="0"/>
    <x v="4"/>
    <x v="9"/>
    <n v="32999"/>
  </r>
  <r>
    <x v="0"/>
    <x v="4"/>
    <x v="10"/>
    <n v="36542"/>
  </r>
  <r>
    <x v="0"/>
    <x v="4"/>
    <x v="11"/>
    <n v="39447"/>
  </r>
  <r>
    <x v="0"/>
    <x v="5"/>
    <x v="0"/>
    <n v="55742"/>
  </r>
  <r>
    <x v="0"/>
    <x v="5"/>
    <x v="1"/>
    <n v="55484"/>
  </r>
  <r>
    <x v="0"/>
    <x v="5"/>
    <x v="2"/>
    <n v="53240"/>
  </r>
  <r>
    <x v="0"/>
    <x v="5"/>
    <x v="3"/>
    <n v="53536"/>
  </r>
  <r>
    <x v="0"/>
    <x v="5"/>
    <x v="4"/>
    <n v="51083"/>
  </r>
  <r>
    <x v="0"/>
    <x v="5"/>
    <x v="5"/>
    <n v="53097"/>
  </r>
  <r>
    <x v="0"/>
    <x v="5"/>
    <x v="6"/>
    <n v="51513"/>
  </r>
  <r>
    <x v="0"/>
    <x v="5"/>
    <x v="7"/>
    <n v="51875"/>
  </r>
  <r>
    <x v="0"/>
    <x v="5"/>
    <x v="8"/>
    <n v="49576"/>
  </r>
  <r>
    <x v="0"/>
    <x v="5"/>
    <x v="9"/>
    <n v="42515"/>
  </r>
  <r>
    <x v="0"/>
    <x v="5"/>
    <x v="10"/>
    <n v="40587"/>
  </r>
  <r>
    <x v="0"/>
    <x v="5"/>
    <x v="11"/>
    <n v="43066"/>
  </r>
  <r>
    <x v="0"/>
    <x v="6"/>
    <x v="0"/>
    <n v="9001"/>
  </r>
  <r>
    <x v="0"/>
    <x v="6"/>
    <x v="1"/>
    <n v="9288"/>
  </r>
  <r>
    <x v="0"/>
    <x v="6"/>
    <x v="2"/>
    <n v="9616"/>
  </r>
  <r>
    <x v="0"/>
    <x v="6"/>
    <x v="3"/>
    <n v="9224"/>
  </r>
  <r>
    <x v="0"/>
    <x v="6"/>
    <x v="4"/>
    <n v="8797"/>
  </r>
  <r>
    <x v="0"/>
    <x v="6"/>
    <x v="5"/>
    <n v="8050"/>
  </r>
  <r>
    <x v="0"/>
    <x v="6"/>
    <x v="6"/>
    <n v="8094"/>
  </r>
  <r>
    <x v="0"/>
    <x v="6"/>
    <x v="7"/>
    <n v="8731"/>
  </r>
  <r>
    <x v="0"/>
    <x v="6"/>
    <x v="8"/>
    <n v="8708"/>
  </r>
  <r>
    <x v="0"/>
    <x v="6"/>
    <x v="9"/>
    <n v="7445"/>
  </r>
  <r>
    <x v="0"/>
    <x v="6"/>
    <x v="10"/>
    <n v="8404"/>
  </r>
  <r>
    <x v="0"/>
    <x v="6"/>
    <x v="11"/>
    <n v="8361"/>
  </r>
  <r>
    <x v="1"/>
    <x v="0"/>
    <x v="0"/>
    <n v="5323"/>
  </r>
  <r>
    <x v="1"/>
    <x v="0"/>
    <x v="1"/>
    <n v="5791"/>
  </r>
  <r>
    <x v="1"/>
    <x v="0"/>
    <x v="2"/>
    <n v="5347"/>
  </r>
  <r>
    <x v="1"/>
    <x v="0"/>
    <x v="3"/>
    <n v="5239"/>
  </r>
  <r>
    <x v="1"/>
    <x v="0"/>
    <x v="4"/>
    <n v="4778"/>
  </r>
  <r>
    <x v="1"/>
    <x v="0"/>
    <x v="5"/>
    <n v="5147"/>
  </r>
  <r>
    <x v="1"/>
    <x v="0"/>
    <x v="6"/>
    <n v="5032"/>
  </r>
  <r>
    <x v="1"/>
    <x v="0"/>
    <x v="7"/>
    <n v="5339"/>
  </r>
  <r>
    <x v="1"/>
    <x v="0"/>
    <x v="8"/>
    <n v="5119"/>
  </r>
  <r>
    <x v="1"/>
    <x v="0"/>
    <x v="9"/>
    <n v="3992"/>
  </r>
  <r>
    <x v="1"/>
    <x v="0"/>
    <x v="10"/>
    <n v="1876"/>
  </r>
  <r>
    <x v="1"/>
    <x v="0"/>
    <x v="11"/>
    <n v="1838"/>
  </r>
  <r>
    <x v="1"/>
    <x v="1"/>
    <x v="0"/>
    <n v="47486"/>
  </r>
  <r>
    <x v="1"/>
    <x v="1"/>
    <x v="1"/>
    <n v="48480"/>
  </r>
  <r>
    <x v="1"/>
    <x v="1"/>
    <x v="2"/>
    <n v="45945"/>
  </r>
  <r>
    <x v="1"/>
    <x v="1"/>
    <x v="3"/>
    <n v="42314"/>
  </r>
  <r>
    <x v="1"/>
    <x v="1"/>
    <x v="4"/>
    <n v="41100"/>
  </r>
  <r>
    <x v="1"/>
    <x v="1"/>
    <x v="5"/>
    <n v="37741"/>
  </r>
  <r>
    <x v="1"/>
    <x v="1"/>
    <x v="6"/>
    <n v="35725"/>
  </r>
  <r>
    <x v="1"/>
    <x v="1"/>
    <x v="7"/>
    <n v="36879"/>
  </r>
  <r>
    <x v="1"/>
    <x v="1"/>
    <x v="8"/>
    <n v="36059"/>
  </r>
  <r>
    <x v="1"/>
    <x v="1"/>
    <x v="9"/>
    <n v="31668"/>
  </r>
  <r>
    <x v="1"/>
    <x v="1"/>
    <x v="10"/>
    <n v="36356"/>
  </r>
  <r>
    <x v="1"/>
    <x v="1"/>
    <x v="11"/>
    <n v="39829"/>
  </r>
  <r>
    <x v="1"/>
    <x v="2"/>
    <x v="0"/>
    <n v="9134"/>
  </r>
  <r>
    <x v="1"/>
    <x v="2"/>
    <x v="1"/>
    <n v="9147"/>
  </r>
  <r>
    <x v="1"/>
    <x v="2"/>
    <x v="2"/>
    <n v="8424"/>
  </r>
  <r>
    <x v="1"/>
    <x v="2"/>
    <x v="3"/>
    <n v="7942"/>
  </r>
  <r>
    <x v="1"/>
    <x v="2"/>
    <x v="4"/>
    <n v="7816"/>
  </r>
  <r>
    <x v="1"/>
    <x v="2"/>
    <x v="5"/>
    <n v="6838"/>
  </r>
  <r>
    <x v="1"/>
    <x v="2"/>
    <x v="6"/>
    <n v="6232"/>
  </r>
  <r>
    <x v="1"/>
    <x v="2"/>
    <x v="7"/>
    <n v="6116"/>
  </r>
  <r>
    <x v="1"/>
    <x v="2"/>
    <x v="8"/>
    <n v="5740"/>
  </r>
  <r>
    <x v="1"/>
    <x v="2"/>
    <x v="9"/>
    <n v="5769"/>
  </r>
  <r>
    <x v="1"/>
    <x v="2"/>
    <x v="10"/>
    <n v="6806"/>
  </r>
  <r>
    <x v="1"/>
    <x v="2"/>
    <x v="11"/>
    <n v="7123"/>
  </r>
  <r>
    <x v="1"/>
    <x v="3"/>
    <x v="0"/>
    <n v="6356"/>
  </r>
  <r>
    <x v="1"/>
    <x v="3"/>
    <x v="1"/>
    <n v="8334"/>
  </r>
  <r>
    <x v="1"/>
    <x v="3"/>
    <x v="2"/>
    <n v="10570"/>
  </r>
  <r>
    <x v="1"/>
    <x v="3"/>
    <x v="3"/>
    <n v="11387"/>
  </r>
  <r>
    <x v="1"/>
    <x v="3"/>
    <x v="4"/>
    <n v="12791"/>
  </r>
  <r>
    <x v="1"/>
    <x v="3"/>
    <x v="5"/>
    <n v="15015"/>
  </r>
  <r>
    <x v="1"/>
    <x v="3"/>
    <x v="6"/>
    <n v="16011"/>
  </r>
  <r>
    <x v="1"/>
    <x v="3"/>
    <x v="7"/>
    <n v="11907"/>
  </r>
  <r>
    <x v="1"/>
    <x v="3"/>
    <x v="8"/>
    <n v="8313"/>
  </r>
  <r>
    <x v="1"/>
    <x v="3"/>
    <x v="9"/>
    <n v="6251"/>
  </r>
  <r>
    <x v="1"/>
    <x v="3"/>
    <x v="10"/>
    <n v="7759"/>
  </r>
  <r>
    <x v="1"/>
    <x v="3"/>
    <x v="11"/>
    <n v="9816"/>
  </r>
  <r>
    <x v="1"/>
    <x v="4"/>
    <x v="0"/>
    <n v="29529"/>
  </r>
  <r>
    <x v="1"/>
    <x v="4"/>
    <x v="1"/>
    <n v="28736"/>
  </r>
  <r>
    <x v="1"/>
    <x v="4"/>
    <x v="2"/>
    <n v="26042"/>
  </r>
  <r>
    <x v="1"/>
    <x v="4"/>
    <x v="3"/>
    <n v="24134"/>
  </r>
  <r>
    <x v="1"/>
    <x v="4"/>
    <x v="4"/>
    <n v="23502"/>
  </r>
  <r>
    <x v="1"/>
    <x v="4"/>
    <x v="5"/>
    <n v="23348"/>
  </r>
  <r>
    <x v="1"/>
    <x v="4"/>
    <x v="6"/>
    <n v="20235"/>
  </r>
  <r>
    <x v="1"/>
    <x v="4"/>
    <x v="7"/>
    <n v="22006"/>
  </r>
  <r>
    <x v="1"/>
    <x v="4"/>
    <x v="8"/>
    <n v="21631"/>
  </r>
  <r>
    <x v="1"/>
    <x v="4"/>
    <x v="9"/>
    <n v="18708"/>
  </r>
  <r>
    <x v="1"/>
    <x v="4"/>
    <x v="10"/>
    <n v="21875"/>
  </r>
  <r>
    <x v="1"/>
    <x v="4"/>
    <x v="11"/>
    <n v="23735"/>
  </r>
  <r>
    <x v="1"/>
    <x v="5"/>
    <x v="0"/>
    <n v="31772"/>
  </r>
  <r>
    <x v="1"/>
    <x v="5"/>
    <x v="1"/>
    <n v="34738"/>
  </r>
  <r>
    <x v="1"/>
    <x v="5"/>
    <x v="2"/>
    <n v="33234"/>
  </r>
  <r>
    <x v="1"/>
    <x v="5"/>
    <x v="3"/>
    <n v="31162"/>
  </r>
  <r>
    <x v="1"/>
    <x v="5"/>
    <x v="4"/>
    <n v="30622"/>
  </r>
  <r>
    <x v="1"/>
    <x v="5"/>
    <x v="5"/>
    <n v="29733"/>
  </r>
  <r>
    <x v="1"/>
    <x v="5"/>
    <x v="6"/>
    <n v="28653"/>
  </r>
  <r>
    <x v="1"/>
    <x v="5"/>
    <x v="7"/>
    <n v="28778"/>
  </r>
  <r>
    <x v="1"/>
    <x v="5"/>
    <x v="8"/>
    <n v="27567"/>
  </r>
  <r>
    <x v="1"/>
    <x v="5"/>
    <x v="9"/>
    <n v="22626"/>
  </r>
  <r>
    <x v="1"/>
    <x v="5"/>
    <x v="10"/>
    <n v="22900"/>
  </r>
  <r>
    <x v="1"/>
    <x v="5"/>
    <x v="11"/>
    <n v="24768"/>
  </r>
  <r>
    <x v="1"/>
    <x v="6"/>
    <x v="0"/>
    <n v="4785"/>
  </r>
  <r>
    <x v="1"/>
    <x v="6"/>
    <x v="1"/>
    <n v="5098"/>
  </r>
  <r>
    <x v="1"/>
    <x v="6"/>
    <x v="2"/>
    <n v="4584"/>
  </r>
  <r>
    <x v="1"/>
    <x v="6"/>
    <x v="3"/>
    <n v="4094"/>
  </r>
  <r>
    <x v="1"/>
    <x v="6"/>
    <x v="4"/>
    <n v="3928"/>
  </r>
  <r>
    <x v="1"/>
    <x v="6"/>
    <x v="5"/>
    <n v="3488"/>
  </r>
  <r>
    <x v="1"/>
    <x v="6"/>
    <x v="6"/>
    <n v="3284"/>
  </r>
  <r>
    <x v="1"/>
    <x v="6"/>
    <x v="7"/>
    <n v="3457"/>
  </r>
  <r>
    <x v="1"/>
    <x v="6"/>
    <x v="8"/>
    <n v="3746"/>
  </r>
  <r>
    <x v="1"/>
    <x v="6"/>
    <x v="9"/>
    <n v="2971"/>
  </r>
  <r>
    <x v="1"/>
    <x v="6"/>
    <x v="10"/>
    <n v="3416"/>
  </r>
  <r>
    <x v="1"/>
    <x v="6"/>
    <x v="11"/>
    <n v="3442"/>
  </r>
  <r>
    <x v="2"/>
    <x v="0"/>
    <x v="0"/>
    <n v="35148"/>
  </r>
  <r>
    <x v="2"/>
    <x v="0"/>
    <x v="1"/>
    <n v="35717"/>
  </r>
  <r>
    <x v="2"/>
    <x v="0"/>
    <x v="2"/>
    <n v="42506"/>
  </r>
  <r>
    <x v="2"/>
    <x v="0"/>
    <x v="3"/>
    <n v="47362"/>
  </r>
  <r>
    <x v="2"/>
    <x v="0"/>
    <x v="4"/>
    <n v="49792"/>
  </r>
  <r>
    <x v="2"/>
    <x v="0"/>
    <x v="5"/>
    <n v="53793"/>
  </r>
  <r>
    <x v="2"/>
    <x v="0"/>
    <x v="6"/>
    <n v="51706"/>
  </r>
  <r>
    <x v="2"/>
    <x v="0"/>
    <x v="7"/>
    <n v="52040"/>
  </r>
  <r>
    <x v="2"/>
    <x v="0"/>
    <x v="8"/>
    <n v="53927"/>
  </r>
  <r>
    <x v="2"/>
    <x v="0"/>
    <x v="9"/>
    <n v="44109"/>
  </r>
  <r>
    <x v="2"/>
    <x v="0"/>
    <x v="10"/>
    <n v="26033"/>
  </r>
  <r>
    <x v="2"/>
    <x v="0"/>
    <x v="11"/>
    <n v="26599"/>
  </r>
  <r>
    <x v="2"/>
    <x v="1"/>
    <x v="0"/>
    <n v="160289"/>
  </r>
  <r>
    <x v="2"/>
    <x v="1"/>
    <x v="1"/>
    <n v="153610"/>
  </r>
  <r>
    <x v="2"/>
    <x v="1"/>
    <x v="2"/>
    <n v="160881"/>
  </r>
  <r>
    <x v="2"/>
    <x v="1"/>
    <x v="3"/>
    <n v="167264"/>
  </r>
  <r>
    <x v="2"/>
    <x v="1"/>
    <x v="4"/>
    <n v="172814"/>
  </r>
  <r>
    <x v="2"/>
    <x v="1"/>
    <x v="5"/>
    <n v="171466"/>
  </r>
  <r>
    <x v="2"/>
    <x v="1"/>
    <x v="6"/>
    <n v="170640"/>
  </r>
  <r>
    <x v="2"/>
    <x v="1"/>
    <x v="7"/>
    <n v="174894"/>
  </r>
  <r>
    <x v="2"/>
    <x v="1"/>
    <x v="8"/>
    <n v="177737"/>
  </r>
  <r>
    <x v="2"/>
    <x v="1"/>
    <x v="9"/>
    <n v="151911"/>
  </r>
  <r>
    <x v="2"/>
    <x v="1"/>
    <x v="10"/>
    <n v="171026"/>
  </r>
  <r>
    <x v="2"/>
    <x v="1"/>
    <x v="11"/>
    <n v="181837"/>
  </r>
  <r>
    <x v="2"/>
    <x v="2"/>
    <x v="0"/>
    <n v="37796"/>
  </r>
  <r>
    <x v="2"/>
    <x v="2"/>
    <x v="1"/>
    <n v="36199"/>
  </r>
  <r>
    <x v="2"/>
    <x v="2"/>
    <x v="2"/>
    <n v="35757"/>
  </r>
  <r>
    <x v="2"/>
    <x v="2"/>
    <x v="3"/>
    <n v="35847"/>
  </r>
  <r>
    <x v="2"/>
    <x v="2"/>
    <x v="4"/>
    <n v="35312"/>
  </r>
  <r>
    <x v="2"/>
    <x v="2"/>
    <x v="5"/>
    <n v="34023"/>
  </r>
  <r>
    <x v="2"/>
    <x v="2"/>
    <x v="6"/>
    <n v="32456"/>
  </r>
  <r>
    <x v="2"/>
    <x v="2"/>
    <x v="7"/>
    <n v="31275"/>
  </r>
  <r>
    <x v="2"/>
    <x v="2"/>
    <x v="8"/>
    <n v="29232"/>
  </r>
  <r>
    <x v="2"/>
    <x v="2"/>
    <x v="9"/>
    <n v="24996"/>
  </r>
  <r>
    <x v="2"/>
    <x v="2"/>
    <x v="10"/>
    <n v="29399"/>
  </r>
  <r>
    <x v="2"/>
    <x v="2"/>
    <x v="11"/>
    <n v="29252"/>
  </r>
  <r>
    <x v="2"/>
    <x v="3"/>
    <x v="0"/>
    <n v="51085"/>
  </r>
  <r>
    <x v="2"/>
    <x v="3"/>
    <x v="1"/>
    <n v="64337"/>
  </r>
  <r>
    <x v="2"/>
    <x v="3"/>
    <x v="2"/>
    <n v="104858"/>
  </r>
  <r>
    <x v="2"/>
    <x v="3"/>
    <x v="3"/>
    <n v="100267"/>
  </r>
  <r>
    <x v="2"/>
    <x v="3"/>
    <x v="4"/>
    <n v="91799"/>
  </r>
  <r>
    <x v="2"/>
    <x v="3"/>
    <x v="5"/>
    <n v="95403"/>
  </r>
  <r>
    <x v="2"/>
    <x v="3"/>
    <x v="6"/>
    <n v="107614"/>
  </r>
  <r>
    <x v="2"/>
    <x v="3"/>
    <x v="7"/>
    <n v="90476"/>
  </r>
  <r>
    <x v="2"/>
    <x v="3"/>
    <x v="8"/>
    <n v="83090"/>
  </r>
  <r>
    <x v="2"/>
    <x v="3"/>
    <x v="9"/>
    <n v="47859"/>
  </r>
  <r>
    <x v="2"/>
    <x v="3"/>
    <x v="10"/>
    <n v="52608"/>
  </r>
  <r>
    <x v="2"/>
    <x v="3"/>
    <x v="11"/>
    <n v="59348"/>
  </r>
  <r>
    <x v="2"/>
    <x v="4"/>
    <x v="0"/>
    <n v="164163"/>
  </r>
  <r>
    <x v="2"/>
    <x v="4"/>
    <x v="1"/>
    <n v="159302"/>
  </r>
  <r>
    <x v="2"/>
    <x v="4"/>
    <x v="2"/>
    <n v="159385"/>
  </r>
  <r>
    <x v="2"/>
    <x v="4"/>
    <x v="3"/>
    <n v="155820"/>
  </r>
  <r>
    <x v="2"/>
    <x v="4"/>
    <x v="4"/>
    <n v="148436"/>
  </r>
  <r>
    <x v="2"/>
    <x v="4"/>
    <x v="5"/>
    <n v="142974"/>
  </r>
  <r>
    <x v="2"/>
    <x v="4"/>
    <x v="6"/>
    <n v="135087"/>
  </r>
  <r>
    <x v="2"/>
    <x v="4"/>
    <x v="7"/>
    <n v="134273"/>
  </r>
  <r>
    <x v="2"/>
    <x v="4"/>
    <x v="8"/>
    <n v="129696"/>
  </r>
  <r>
    <x v="2"/>
    <x v="4"/>
    <x v="9"/>
    <n v="106889"/>
  </r>
  <r>
    <x v="2"/>
    <x v="4"/>
    <x v="10"/>
    <n v="115972"/>
  </r>
  <r>
    <x v="2"/>
    <x v="4"/>
    <x v="11"/>
    <n v="128695"/>
  </r>
  <r>
    <x v="2"/>
    <x v="5"/>
    <x v="0"/>
    <n v="147690"/>
  </r>
  <r>
    <x v="2"/>
    <x v="5"/>
    <x v="1"/>
    <n v="153759"/>
  </r>
  <r>
    <x v="2"/>
    <x v="5"/>
    <x v="2"/>
    <n v="155188"/>
  </r>
  <r>
    <x v="2"/>
    <x v="5"/>
    <x v="3"/>
    <n v="155912"/>
  </r>
  <r>
    <x v="2"/>
    <x v="5"/>
    <x v="4"/>
    <n v="150955"/>
  </r>
  <r>
    <x v="2"/>
    <x v="5"/>
    <x v="5"/>
    <n v="154761"/>
  </r>
  <r>
    <x v="2"/>
    <x v="5"/>
    <x v="6"/>
    <n v="140476"/>
  </r>
  <r>
    <x v="2"/>
    <x v="5"/>
    <x v="7"/>
    <n v="133563"/>
  </r>
  <r>
    <x v="2"/>
    <x v="5"/>
    <x v="8"/>
    <n v="126844"/>
  </r>
  <r>
    <x v="2"/>
    <x v="5"/>
    <x v="9"/>
    <n v="90906"/>
  </r>
  <r>
    <x v="2"/>
    <x v="5"/>
    <x v="10"/>
    <n v="91075"/>
  </r>
  <r>
    <x v="2"/>
    <x v="5"/>
    <x v="11"/>
    <n v="94057"/>
  </r>
  <r>
    <x v="2"/>
    <x v="6"/>
    <x v="0"/>
    <n v="11512"/>
  </r>
  <r>
    <x v="2"/>
    <x v="6"/>
    <x v="1"/>
    <n v="11113"/>
  </r>
  <r>
    <x v="2"/>
    <x v="6"/>
    <x v="2"/>
    <n v="10264"/>
  </r>
  <r>
    <x v="2"/>
    <x v="6"/>
    <x v="3"/>
    <n v="9902"/>
  </r>
  <r>
    <x v="2"/>
    <x v="6"/>
    <x v="4"/>
    <n v="9510"/>
  </r>
  <r>
    <x v="2"/>
    <x v="6"/>
    <x v="5"/>
    <n v="9566"/>
  </r>
  <r>
    <x v="2"/>
    <x v="6"/>
    <x v="6"/>
    <n v="10116"/>
  </r>
  <r>
    <x v="2"/>
    <x v="6"/>
    <x v="7"/>
    <n v="10752"/>
  </r>
  <r>
    <x v="2"/>
    <x v="6"/>
    <x v="8"/>
    <n v="10810"/>
  </r>
  <r>
    <x v="2"/>
    <x v="6"/>
    <x v="9"/>
    <n v="9749"/>
  </r>
  <r>
    <x v="2"/>
    <x v="6"/>
    <x v="10"/>
    <n v="11178"/>
  </r>
  <r>
    <x v="2"/>
    <x v="6"/>
    <x v="11"/>
    <n v="11160"/>
  </r>
  <r>
    <x v="3"/>
    <x v="0"/>
    <x v="0"/>
    <n v="18417"/>
  </r>
  <r>
    <x v="3"/>
    <x v="0"/>
    <x v="1"/>
    <n v="19923"/>
  </r>
  <r>
    <x v="3"/>
    <x v="0"/>
    <x v="2"/>
    <n v="20957"/>
  </r>
  <r>
    <x v="3"/>
    <x v="0"/>
    <x v="3"/>
    <n v="20881"/>
  </r>
  <r>
    <x v="3"/>
    <x v="0"/>
    <x v="4"/>
    <n v="21061"/>
  </r>
  <r>
    <x v="3"/>
    <x v="0"/>
    <x v="5"/>
    <n v="22327"/>
  </r>
  <r>
    <x v="3"/>
    <x v="0"/>
    <x v="6"/>
    <n v="21543"/>
  </r>
  <r>
    <x v="3"/>
    <x v="0"/>
    <x v="7"/>
    <n v="22110"/>
  </r>
  <r>
    <x v="3"/>
    <x v="0"/>
    <x v="8"/>
    <n v="22824"/>
  </r>
  <r>
    <x v="3"/>
    <x v="0"/>
    <x v="9"/>
    <n v="20964"/>
  </r>
  <r>
    <x v="3"/>
    <x v="0"/>
    <x v="10"/>
    <n v="12027"/>
  </r>
  <r>
    <x v="3"/>
    <x v="0"/>
    <x v="11"/>
    <n v="13372"/>
  </r>
  <r>
    <x v="3"/>
    <x v="1"/>
    <x v="0"/>
    <n v="105443"/>
  </r>
  <r>
    <x v="3"/>
    <x v="1"/>
    <x v="1"/>
    <n v="105444"/>
  </r>
  <r>
    <x v="3"/>
    <x v="1"/>
    <x v="2"/>
    <n v="101983"/>
  </r>
  <r>
    <x v="3"/>
    <x v="1"/>
    <x v="3"/>
    <n v="98757"/>
  </r>
  <r>
    <x v="3"/>
    <x v="1"/>
    <x v="4"/>
    <n v="97870"/>
  </r>
  <r>
    <x v="3"/>
    <x v="1"/>
    <x v="5"/>
    <n v="95153"/>
  </r>
  <r>
    <x v="3"/>
    <x v="1"/>
    <x v="6"/>
    <n v="94914"/>
  </r>
  <r>
    <x v="3"/>
    <x v="1"/>
    <x v="7"/>
    <n v="97505"/>
  </r>
  <r>
    <x v="3"/>
    <x v="1"/>
    <x v="8"/>
    <n v="101154"/>
  </r>
  <r>
    <x v="3"/>
    <x v="1"/>
    <x v="9"/>
    <n v="88851"/>
  </r>
  <r>
    <x v="3"/>
    <x v="1"/>
    <x v="10"/>
    <n v="103725"/>
  </r>
  <r>
    <x v="3"/>
    <x v="1"/>
    <x v="11"/>
    <n v="109916"/>
  </r>
  <r>
    <x v="3"/>
    <x v="2"/>
    <x v="0"/>
    <n v="16424"/>
  </r>
  <r>
    <x v="3"/>
    <x v="2"/>
    <x v="1"/>
    <n v="16616"/>
  </r>
  <r>
    <x v="3"/>
    <x v="2"/>
    <x v="2"/>
    <n v="15850"/>
  </r>
  <r>
    <x v="3"/>
    <x v="2"/>
    <x v="3"/>
    <n v="15459"/>
  </r>
  <r>
    <x v="3"/>
    <x v="2"/>
    <x v="4"/>
    <n v="15534"/>
  </r>
  <r>
    <x v="3"/>
    <x v="2"/>
    <x v="5"/>
    <n v="14709"/>
  </r>
  <r>
    <x v="3"/>
    <x v="2"/>
    <x v="6"/>
    <n v="13637"/>
  </r>
  <r>
    <x v="3"/>
    <x v="2"/>
    <x v="7"/>
    <n v="14458"/>
  </r>
  <r>
    <x v="3"/>
    <x v="2"/>
    <x v="8"/>
    <n v="14120"/>
  </r>
  <r>
    <x v="3"/>
    <x v="2"/>
    <x v="9"/>
    <n v="13227"/>
  </r>
  <r>
    <x v="3"/>
    <x v="2"/>
    <x v="10"/>
    <n v="16512"/>
  </r>
  <r>
    <x v="3"/>
    <x v="2"/>
    <x v="11"/>
    <n v="14749"/>
  </r>
  <r>
    <x v="3"/>
    <x v="3"/>
    <x v="0"/>
    <n v="55907"/>
  </r>
  <r>
    <x v="3"/>
    <x v="3"/>
    <x v="1"/>
    <n v="62908"/>
  </r>
  <r>
    <x v="3"/>
    <x v="3"/>
    <x v="2"/>
    <n v="64896"/>
  </r>
  <r>
    <x v="3"/>
    <x v="3"/>
    <x v="3"/>
    <n v="65418"/>
  </r>
  <r>
    <x v="3"/>
    <x v="3"/>
    <x v="4"/>
    <n v="64875"/>
  </r>
  <r>
    <x v="3"/>
    <x v="3"/>
    <x v="5"/>
    <n v="71390"/>
  </r>
  <r>
    <x v="3"/>
    <x v="3"/>
    <x v="6"/>
    <n v="80143"/>
  </r>
  <r>
    <x v="3"/>
    <x v="3"/>
    <x v="7"/>
    <n v="60283"/>
  </r>
  <r>
    <x v="3"/>
    <x v="3"/>
    <x v="8"/>
    <n v="54199"/>
  </r>
  <r>
    <x v="3"/>
    <x v="3"/>
    <x v="9"/>
    <n v="29371"/>
  </r>
  <r>
    <x v="3"/>
    <x v="3"/>
    <x v="10"/>
    <n v="30794"/>
  </r>
  <r>
    <x v="3"/>
    <x v="3"/>
    <x v="11"/>
    <n v="32189"/>
  </r>
  <r>
    <x v="3"/>
    <x v="4"/>
    <x v="0"/>
    <n v="78241"/>
  </r>
  <r>
    <x v="3"/>
    <x v="4"/>
    <x v="1"/>
    <n v="77601"/>
  </r>
  <r>
    <x v="3"/>
    <x v="4"/>
    <x v="2"/>
    <n v="75655"/>
  </r>
  <r>
    <x v="3"/>
    <x v="4"/>
    <x v="3"/>
    <n v="72967"/>
  </r>
  <r>
    <x v="3"/>
    <x v="4"/>
    <x v="4"/>
    <n v="68616"/>
  </r>
  <r>
    <x v="3"/>
    <x v="4"/>
    <x v="5"/>
    <n v="67284"/>
  </r>
  <r>
    <x v="3"/>
    <x v="4"/>
    <x v="6"/>
    <n v="63543"/>
  </r>
  <r>
    <x v="3"/>
    <x v="4"/>
    <x v="7"/>
    <n v="65970"/>
  </r>
  <r>
    <x v="3"/>
    <x v="4"/>
    <x v="8"/>
    <n v="64128"/>
  </r>
  <r>
    <x v="3"/>
    <x v="4"/>
    <x v="9"/>
    <n v="53945"/>
  </r>
  <r>
    <x v="3"/>
    <x v="4"/>
    <x v="10"/>
    <n v="58294"/>
  </r>
  <r>
    <x v="3"/>
    <x v="4"/>
    <x v="11"/>
    <n v="63665"/>
  </r>
  <r>
    <x v="3"/>
    <x v="5"/>
    <x v="0"/>
    <n v="84433"/>
  </r>
  <r>
    <x v="3"/>
    <x v="5"/>
    <x v="1"/>
    <n v="91128"/>
  </r>
  <r>
    <x v="3"/>
    <x v="5"/>
    <x v="2"/>
    <n v="88205"/>
  </r>
  <r>
    <x v="3"/>
    <x v="5"/>
    <x v="3"/>
    <n v="86814"/>
  </r>
  <r>
    <x v="3"/>
    <x v="5"/>
    <x v="4"/>
    <n v="86385"/>
  </r>
  <r>
    <x v="3"/>
    <x v="5"/>
    <x v="5"/>
    <n v="83492"/>
  </r>
  <r>
    <x v="3"/>
    <x v="5"/>
    <x v="6"/>
    <n v="80207"/>
  </r>
  <r>
    <x v="3"/>
    <x v="5"/>
    <x v="7"/>
    <n v="78995"/>
  </r>
  <r>
    <x v="3"/>
    <x v="5"/>
    <x v="8"/>
    <n v="74804"/>
  </r>
  <r>
    <x v="3"/>
    <x v="5"/>
    <x v="9"/>
    <n v="62054"/>
  </r>
  <r>
    <x v="3"/>
    <x v="5"/>
    <x v="10"/>
    <n v="61808"/>
  </r>
  <r>
    <x v="3"/>
    <x v="5"/>
    <x v="11"/>
    <n v="59887"/>
  </r>
  <r>
    <x v="3"/>
    <x v="6"/>
    <x v="0"/>
    <n v="11034"/>
  </r>
  <r>
    <x v="3"/>
    <x v="6"/>
    <x v="1"/>
    <n v="10964"/>
  </r>
  <r>
    <x v="3"/>
    <x v="6"/>
    <x v="2"/>
    <n v="9889"/>
  </r>
  <r>
    <x v="3"/>
    <x v="6"/>
    <x v="3"/>
    <n v="9079"/>
  </r>
  <r>
    <x v="3"/>
    <x v="6"/>
    <x v="4"/>
    <n v="8947"/>
  </r>
  <r>
    <x v="3"/>
    <x v="6"/>
    <x v="5"/>
    <n v="8484"/>
  </r>
  <r>
    <x v="3"/>
    <x v="6"/>
    <x v="6"/>
    <n v="8759"/>
  </r>
  <r>
    <x v="3"/>
    <x v="6"/>
    <x v="7"/>
    <n v="9308"/>
  </r>
  <r>
    <x v="3"/>
    <x v="6"/>
    <x v="8"/>
    <n v="9809"/>
  </r>
  <r>
    <x v="3"/>
    <x v="6"/>
    <x v="9"/>
    <n v="8201"/>
  </r>
  <r>
    <x v="3"/>
    <x v="6"/>
    <x v="10"/>
    <n v="9617"/>
  </r>
  <r>
    <x v="3"/>
    <x v="6"/>
    <x v="11"/>
    <n v="10160"/>
  </r>
  <r>
    <x v="4"/>
    <x v="0"/>
    <x v="0"/>
    <n v="3652"/>
  </r>
  <r>
    <x v="4"/>
    <x v="0"/>
    <x v="1"/>
    <n v="3917"/>
  </r>
  <r>
    <x v="4"/>
    <x v="0"/>
    <x v="2"/>
    <n v="5163"/>
  </r>
  <r>
    <x v="4"/>
    <x v="0"/>
    <x v="3"/>
    <n v="6123"/>
  </r>
  <r>
    <x v="4"/>
    <x v="0"/>
    <x v="4"/>
    <n v="6723"/>
  </r>
  <r>
    <x v="4"/>
    <x v="0"/>
    <x v="5"/>
    <n v="6745"/>
  </r>
  <r>
    <x v="4"/>
    <x v="0"/>
    <x v="6"/>
    <n v="7048"/>
  </r>
  <r>
    <x v="4"/>
    <x v="0"/>
    <x v="7"/>
    <n v="7006"/>
  </r>
  <r>
    <x v="4"/>
    <x v="0"/>
    <x v="8"/>
    <n v="7466"/>
  </r>
  <r>
    <x v="4"/>
    <x v="0"/>
    <x v="9"/>
    <n v="6105"/>
  </r>
  <r>
    <x v="4"/>
    <x v="0"/>
    <x v="10"/>
    <n v="3548"/>
  </r>
  <r>
    <x v="4"/>
    <x v="0"/>
    <x v="11"/>
    <n v="3931"/>
  </r>
  <r>
    <x v="4"/>
    <x v="1"/>
    <x v="0"/>
    <n v="38826"/>
  </r>
  <r>
    <x v="4"/>
    <x v="1"/>
    <x v="1"/>
    <n v="36786"/>
  </r>
  <r>
    <x v="4"/>
    <x v="1"/>
    <x v="2"/>
    <n v="35953"/>
  </r>
  <r>
    <x v="4"/>
    <x v="1"/>
    <x v="3"/>
    <n v="37971"/>
  </r>
  <r>
    <x v="4"/>
    <x v="1"/>
    <x v="4"/>
    <n v="40391"/>
  </r>
  <r>
    <x v="4"/>
    <x v="1"/>
    <x v="5"/>
    <n v="36764"/>
  </r>
  <r>
    <x v="4"/>
    <x v="1"/>
    <x v="6"/>
    <n v="35068"/>
  </r>
  <r>
    <x v="4"/>
    <x v="1"/>
    <x v="7"/>
    <n v="35266"/>
  </r>
  <r>
    <x v="4"/>
    <x v="1"/>
    <x v="8"/>
    <n v="34780"/>
  </r>
  <r>
    <x v="4"/>
    <x v="1"/>
    <x v="9"/>
    <n v="31120"/>
  </r>
  <r>
    <x v="4"/>
    <x v="1"/>
    <x v="10"/>
    <n v="37690"/>
  </r>
  <r>
    <x v="4"/>
    <x v="1"/>
    <x v="11"/>
    <n v="42142"/>
  </r>
  <r>
    <x v="4"/>
    <x v="2"/>
    <x v="0"/>
    <n v="7535"/>
  </r>
  <r>
    <x v="4"/>
    <x v="2"/>
    <x v="1"/>
    <n v="7296"/>
  </r>
  <r>
    <x v="4"/>
    <x v="2"/>
    <x v="2"/>
    <n v="7145"/>
  </r>
  <r>
    <x v="4"/>
    <x v="2"/>
    <x v="3"/>
    <n v="7544"/>
  </r>
  <r>
    <x v="4"/>
    <x v="2"/>
    <x v="4"/>
    <n v="8225"/>
  </r>
  <r>
    <x v="4"/>
    <x v="2"/>
    <x v="5"/>
    <n v="7352"/>
  </r>
  <r>
    <x v="4"/>
    <x v="2"/>
    <x v="6"/>
    <n v="7246"/>
  </r>
  <r>
    <x v="4"/>
    <x v="2"/>
    <x v="7"/>
    <n v="7161"/>
  </r>
  <r>
    <x v="4"/>
    <x v="2"/>
    <x v="8"/>
    <n v="6943"/>
  </r>
  <r>
    <x v="4"/>
    <x v="2"/>
    <x v="9"/>
    <n v="6866"/>
  </r>
  <r>
    <x v="4"/>
    <x v="2"/>
    <x v="10"/>
    <n v="7768"/>
  </r>
  <r>
    <x v="4"/>
    <x v="2"/>
    <x v="11"/>
    <n v="8171"/>
  </r>
  <r>
    <x v="4"/>
    <x v="3"/>
    <x v="0"/>
    <n v="9081"/>
  </r>
  <r>
    <x v="4"/>
    <x v="3"/>
    <x v="1"/>
    <n v="12402"/>
  </r>
  <r>
    <x v="4"/>
    <x v="3"/>
    <x v="2"/>
    <n v="14269"/>
  </r>
  <r>
    <x v="4"/>
    <x v="3"/>
    <x v="3"/>
    <n v="18321"/>
  </r>
  <r>
    <x v="4"/>
    <x v="3"/>
    <x v="4"/>
    <n v="17709"/>
  </r>
  <r>
    <x v="4"/>
    <x v="3"/>
    <x v="5"/>
    <n v="20044"/>
  </r>
  <r>
    <x v="4"/>
    <x v="3"/>
    <x v="6"/>
    <n v="27262"/>
  </r>
  <r>
    <x v="4"/>
    <x v="3"/>
    <x v="7"/>
    <n v="23249"/>
  </r>
  <r>
    <x v="4"/>
    <x v="3"/>
    <x v="8"/>
    <n v="16920"/>
  </r>
  <r>
    <x v="4"/>
    <x v="3"/>
    <x v="9"/>
    <n v="13767"/>
  </r>
  <r>
    <x v="4"/>
    <x v="3"/>
    <x v="10"/>
    <n v="11751"/>
  </r>
  <r>
    <x v="4"/>
    <x v="3"/>
    <x v="11"/>
    <n v="11967"/>
  </r>
  <r>
    <x v="4"/>
    <x v="4"/>
    <x v="0"/>
    <n v="26786"/>
  </r>
  <r>
    <x v="4"/>
    <x v="4"/>
    <x v="1"/>
    <n v="25690"/>
  </r>
  <r>
    <x v="4"/>
    <x v="4"/>
    <x v="2"/>
    <n v="26189"/>
  </r>
  <r>
    <x v="4"/>
    <x v="4"/>
    <x v="3"/>
    <n v="26459"/>
  </r>
  <r>
    <x v="4"/>
    <x v="4"/>
    <x v="4"/>
    <n v="27447"/>
  </r>
  <r>
    <x v="4"/>
    <x v="4"/>
    <x v="5"/>
    <n v="28524"/>
  </r>
  <r>
    <x v="4"/>
    <x v="4"/>
    <x v="6"/>
    <n v="24381"/>
  </r>
  <r>
    <x v="4"/>
    <x v="4"/>
    <x v="7"/>
    <n v="25081"/>
  </r>
  <r>
    <x v="4"/>
    <x v="4"/>
    <x v="8"/>
    <n v="23780"/>
  </r>
  <r>
    <x v="4"/>
    <x v="4"/>
    <x v="9"/>
    <n v="20132"/>
  </r>
  <r>
    <x v="4"/>
    <x v="4"/>
    <x v="10"/>
    <n v="22673"/>
  </r>
  <r>
    <x v="4"/>
    <x v="4"/>
    <x v="11"/>
    <n v="26767"/>
  </r>
  <r>
    <x v="4"/>
    <x v="5"/>
    <x v="0"/>
    <n v="29335"/>
  </r>
  <r>
    <x v="4"/>
    <x v="5"/>
    <x v="1"/>
    <n v="28533"/>
  </r>
  <r>
    <x v="4"/>
    <x v="5"/>
    <x v="2"/>
    <n v="31479"/>
  </r>
  <r>
    <x v="4"/>
    <x v="5"/>
    <x v="3"/>
    <n v="31669"/>
  </r>
  <r>
    <x v="4"/>
    <x v="5"/>
    <x v="4"/>
    <n v="32081"/>
  </r>
  <r>
    <x v="4"/>
    <x v="5"/>
    <x v="5"/>
    <n v="31240"/>
  </r>
  <r>
    <x v="4"/>
    <x v="5"/>
    <x v="6"/>
    <n v="28725"/>
  </r>
  <r>
    <x v="4"/>
    <x v="5"/>
    <x v="7"/>
    <n v="28468"/>
  </r>
  <r>
    <x v="4"/>
    <x v="5"/>
    <x v="8"/>
    <n v="28449"/>
  </r>
  <r>
    <x v="4"/>
    <x v="5"/>
    <x v="9"/>
    <n v="22993"/>
  </r>
  <r>
    <x v="4"/>
    <x v="5"/>
    <x v="10"/>
    <n v="23440"/>
  </r>
  <r>
    <x v="4"/>
    <x v="5"/>
    <x v="11"/>
    <n v="24614"/>
  </r>
  <r>
    <x v="4"/>
    <x v="6"/>
    <x v="0"/>
    <n v="4836"/>
  </r>
  <r>
    <x v="4"/>
    <x v="6"/>
    <x v="1"/>
    <n v="4866"/>
  </r>
  <r>
    <x v="4"/>
    <x v="6"/>
    <x v="2"/>
    <n v="4423"/>
  </r>
  <r>
    <x v="4"/>
    <x v="6"/>
    <x v="3"/>
    <n v="4312"/>
  </r>
  <r>
    <x v="4"/>
    <x v="6"/>
    <x v="4"/>
    <n v="4369"/>
  </r>
  <r>
    <x v="4"/>
    <x v="6"/>
    <x v="5"/>
    <n v="3828"/>
  </r>
  <r>
    <x v="4"/>
    <x v="6"/>
    <x v="6"/>
    <n v="3862"/>
  </r>
  <r>
    <x v="4"/>
    <x v="6"/>
    <x v="7"/>
    <n v="4060"/>
  </r>
  <r>
    <x v="4"/>
    <x v="6"/>
    <x v="8"/>
    <n v="3990"/>
  </r>
  <r>
    <x v="4"/>
    <x v="6"/>
    <x v="9"/>
    <n v="3720"/>
  </r>
  <r>
    <x v="4"/>
    <x v="6"/>
    <x v="10"/>
    <n v="4309"/>
  </r>
  <r>
    <x v="4"/>
    <x v="6"/>
    <x v="11"/>
    <n v="4715"/>
  </r>
  <r>
    <x v="5"/>
    <x v="0"/>
    <x v="0"/>
    <n v="5681"/>
  </r>
  <r>
    <x v="5"/>
    <x v="0"/>
    <x v="1"/>
    <n v="5198"/>
  </r>
  <r>
    <x v="5"/>
    <x v="0"/>
    <x v="2"/>
    <n v="5252"/>
  </r>
  <r>
    <x v="5"/>
    <x v="0"/>
    <x v="3"/>
    <n v="5656"/>
  </r>
  <r>
    <x v="5"/>
    <x v="0"/>
    <x v="4"/>
    <n v="5996"/>
  </r>
  <r>
    <x v="5"/>
    <x v="0"/>
    <x v="5"/>
    <n v="6702"/>
  </r>
  <r>
    <x v="5"/>
    <x v="0"/>
    <x v="6"/>
    <n v="6757"/>
  </r>
  <r>
    <x v="5"/>
    <x v="0"/>
    <x v="7"/>
    <n v="7091"/>
  </r>
  <r>
    <x v="5"/>
    <x v="0"/>
    <x v="8"/>
    <n v="7672"/>
  </r>
  <r>
    <x v="5"/>
    <x v="0"/>
    <x v="9"/>
    <n v="7004"/>
  </r>
  <r>
    <x v="5"/>
    <x v="0"/>
    <x v="10"/>
    <n v="5151"/>
  </r>
  <r>
    <x v="5"/>
    <x v="0"/>
    <x v="11"/>
    <n v="5052"/>
  </r>
  <r>
    <x v="5"/>
    <x v="1"/>
    <x v="0"/>
    <n v="36661"/>
  </r>
  <r>
    <x v="5"/>
    <x v="1"/>
    <x v="1"/>
    <n v="33692"/>
  </r>
  <r>
    <x v="5"/>
    <x v="1"/>
    <x v="2"/>
    <n v="31775"/>
  </r>
  <r>
    <x v="5"/>
    <x v="1"/>
    <x v="3"/>
    <n v="31886"/>
  </r>
  <r>
    <x v="5"/>
    <x v="1"/>
    <x v="4"/>
    <n v="32737"/>
  </r>
  <r>
    <x v="5"/>
    <x v="1"/>
    <x v="5"/>
    <n v="33381"/>
  </r>
  <r>
    <x v="5"/>
    <x v="1"/>
    <x v="6"/>
    <n v="32646"/>
  </r>
  <r>
    <x v="5"/>
    <x v="1"/>
    <x v="7"/>
    <n v="34885"/>
  </r>
  <r>
    <x v="5"/>
    <x v="1"/>
    <x v="8"/>
    <n v="35622"/>
  </r>
  <r>
    <x v="5"/>
    <x v="1"/>
    <x v="9"/>
    <n v="31488"/>
  </r>
  <r>
    <x v="5"/>
    <x v="1"/>
    <x v="10"/>
    <n v="36099"/>
  </r>
  <r>
    <x v="5"/>
    <x v="1"/>
    <x v="11"/>
    <n v="36565"/>
  </r>
  <r>
    <x v="5"/>
    <x v="2"/>
    <x v="0"/>
    <n v="6714"/>
  </r>
  <r>
    <x v="5"/>
    <x v="2"/>
    <x v="1"/>
    <n v="6355"/>
  </r>
  <r>
    <x v="5"/>
    <x v="2"/>
    <x v="2"/>
    <n v="5972"/>
  </r>
  <r>
    <x v="5"/>
    <x v="2"/>
    <x v="3"/>
    <n v="6130"/>
  </r>
  <r>
    <x v="5"/>
    <x v="2"/>
    <x v="4"/>
    <n v="6113"/>
  </r>
  <r>
    <x v="5"/>
    <x v="2"/>
    <x v="5"/>
    <n v="5834"/>
  </r>
  <r>
    <x v="5"/>
    <x v="2"/>
    <x v="6"/>
    <n v="5773"/>
  </r>
  <r>
    <x v="5"/>
    <x v="2"/>
    <x v="7"/>
    <n v="6031"/>
  </r>
  <r>
    <x v="5"/>
    <x v="2"/>
    <x v="8"/>
    <n v="6200"/>
  </r>
  <r>
    <x v="5"/>
    <x v="2"/>
    <x v="9"/>
    <n v="5703"/>
  </r>
  <r>
    <x v="5"/>
    <x v="2"/>
    <x v="10"/>
    <n v="6272"/>
  </r>
  <r>
    <x v="5"/>
    <x v="2"/>
    <x v="11"/>
    <n v="6024"/>
  </r>
  <r>
    <x v="5"/>
    <x v="3"/>
    <x v="0"/>
    <n v="8657"/>
  </r>
  <r>
    <x v="5"/>
    <x v="3"/>
    <x v="1"/>
    <n v="10740"/>
  </r>
  <r>
    <x v="5"/>
    <x v="3"/>
    <x v="2"/>
    <n v="11534"/>
  </r>
  <r>
    <x v="5"/>
    <x v="3"/>
    <x v="3"/>
    <n v="12929"/>
  </r>
  <r>
    <x v="5"/>
    <x v="3"/>
    <x v="4"/>
    <n v="14539"/>
  </r>
  <r>
    <x v="5"/>
    <x v="3"/>
    <x v="5"/>
    <n v="16902"/>
  </r>
  <r>
    <x v="5"/>
    <x v="3"/>
    <x v="6"/>
    <n v="18434"/>
  </r>
  <r>
    <x v="5"/>
    <x v="3"/>
    <x v="7"/>
    <n v="15205"/>
  </r>
  <r>
    <x v="5"/>
    <x v="3"/>
    <x v="8"/>
    <n v="13267"/>
  </r>
  <r>
    <x v="5"/>
    <x v="3"/>
    <x v="9"/>
    <n v="7167"/>
  </r>
  <r>
    <x v="5"/>
    <x v="3"/>
    <x v="10"/>
    <n v="7667"/>
  </r>
  <r>
    <x v="5"/>
    <x v="3"/>
    <x v="11"/>
    <n v="7262"/>
  </r>
  <r>
    <x v="5"/>
    <x v="4"/>
    <x v="0"/>
    <n v="30893"/>
  </r>
  <r>
    <x v="5"/>
    <x v="4"/>
    <x v="1"/>
    <n v="31130"/>
  </r>
  <r>
    <x v="5"/>
    <x v="4"/>
    <x v="2"/>
    <n v="27795"/>
  </r>
  <r>
    <x v="5"/>
    <x v="4"/>
    <x v="3"/>
    <n v="26882"/>
  </r>
  <r>
    <x v="5"/>
    <x v="4"/>
    <x v="4"/>
    <n v="26546"/>
  </r>
  <r>
    <x v="5"/>
    <x v="4"/>
    <x v="5"/>
    <n v="27060"/>
  </r>
  <r>
    <x v="5"/>
    <x v="4"/>
    <x v="6"/>
    <n v="25492"/>
  </r>
  <r>
    <x v="5"/>
    <x v="4"/>
    <x v="7"/>
    <n v="25235"/>
  </r>
  <r>
    <x v="5"/>
    <x v="4"/>
    <x v="8"/>
    <n v="24367"/>
  </r>
  <r>
    <x v="5"/>
    <x v="4"/>
    <x v="9"/>
    <n v="21271"/>
  </r>
  <r>
    <x v="5"/>
    <x v="4"/>
    <x v="10"/>
    <n v="21914"/>
  </r>
  <r>
    <x v="5"/>
    <x v="4"/>
    <x v="11"/>
    <n v="22758"/>
  </r>
  <r>
    <x v="5"/>
    <x v="5"/>
    <x v="0"/>
    <n v="36169"/>
  </r>
  <r>
    <x v="5"/>
    <x v="5"/>
    <x v="1"/>
    <n v="36312"/>
  </r>
  <r>
    <x v="5"/>
    <x v="5"/>
    <x v="2"/>
    <n v="35978"/>
  </r>
  <r>
    <x v="5"/>
    <x v="5"/>
    <x v="3"/>
    <n v="36218"/>
  </r>
  <r>
    <x v="5"/>
    <x v="5"/>
    <x v="4"/>
    <n v="36107"/>
  </r>
  <r>
    <x v="5"/>
    <x v="5"/>
    <x v="5"/>
    <n v="36666"/>
  </r>
  <r>
    <x v="5"/>
    <x v="5"/>
    <x v="6"/>
    <n v="35716"/>
  </r>
  <r>
    <x v="5"/>
    <x v="5"/>
    <x v="7"/>
    <n v="35008"/>
  </r>
  <r>
    <x v="5"/>
    <x v="5"/>
    <x v="8"/>
    <n v="33035"/>
  </r>
  <r>
    <x v="5"/>
    <x v="5"/>
    <x v="9"/>
    <n v="27237"/>
  </r>
  <r>
    <x v="5"/>
    <x v="5"/>
    <x v="10"/>
    <n v="25176"/>
  </r>
  <r>
    <x v="5"/>
    <x v="5"/>
    <x v="11"/>
    <n v="26434"/>
  </r>
  <r>
    <x v="5"/>
    <x v="6"/>
    <x v="0"/>
    <n v="3955"/>
  </r>
  <r>
    <x v="5"/>
    <x v="6"/>
    <x v="1"/>
    <n v="4065"/>
  </r>
  <r>
    <x v="5"/>
    <x v="6"/>
    <x v="2"/>
    <n v="3797"/>
  </r>
  <r>
    <x v="5"/>
    <x v="6"/>
    <x v="3"/>
    <n v="3474"/>
  </r>
  <r>
    <x v="5"/>
    <x v="6"/>
    <x v="4"/>
    <n v="3331"/>
  </r>
  <r>
    <x v="5"/>
    <x v="6"/>
    <x v="5"/>
    <n v="3216"/>
  </r>
  <r>
    <x v="5"/>
    <x v="6"/>
    <x v="6"/>
    <n v="3198"/>
  </r>
  <r>
    <x v="5"/>
    <x v="6"/>
    <x v="7"/>
    <n v="3470"/>
  </r>
  <r>
    <x v="5"/>
    <x v="6"/>
    <x v="8"/>
    <n v="3513"/>
  </r>
  <r>
    <x v="5"/>
    <x v="6"/>
    <x v="9"/>
    <n v="3134"/>
  </r>
  <r>
    <x v="5"/>
    <x v="6"/>
    <x v="10"/>
    <n v="3553"/>
  </r>
  <r>
    <x v="5"/>
    <x v="6"/>
    <x v="11"/>
    <n v="3321"/>
  </r>
  <r>
    <x v="6"/>
    <x v="0"/>
    <x v="0"/>
    <n v="967"/>
  </r>
  <r>
    <x v="6"/>
    <x v="0"/>
    <x v="1"/>
    <n v="1239"/>
  </r>
  <r>
    <x v="6"/>
    <x v="0"/>
    <x v="2"/>
    <n v="1402"/>
  </r>
  <r>
    <x v="6"/>
    <x v="0"/>
    <x v="3"/>
    <n v="1446"/>
  </r>
  <r>
    <x v="6"/>
    <x v="0"/>
    <x v="4"/>
    <n v="1387"/>
  </r>
  <r>
    <x v="6"/>
    <x v="0"/>
    <x v="5"/>
    <n v="1505"/>
  </r>
  <r>
    <x v="6"/>
    <x v="0"/>
    <x v="6"/>
    <n v="1639"/>
  </r>
  <r>
    <x v="6"/>
    <x v="0"/>
    <x v="7"/>
    <n v="1780"/>
  </r>
  <r>
    <x v="6"/>
    <x v="0"/>
    <x v="8"/>
    <n v="1643"/>
  </r>
  <r>
    <x v="6"/>
    <x v="0"/>
    <x v="9"/>
    <n v="1426"/>
  </r>
  <r>
    <x v="6"/>
    <x v="0"/>
    <x v="10"/>
    <n v="377"/>
  </r>
  <r>
    <x v="6"/>
    <x v="0"/>
    <x v="11"/>
    <n v="470"/>
  </r>
  <r>
    <x v="6"/>
    <x v="1"/>
    <x v="0"/>
    <n v="18038"/>
  </r>
  <r>
    <x v="6"/>
    <x v="1"/>
    <x v="1"/>
    <n v="18649"/>
  </r>
  <r>
    <x v="6"/>
    <x v="1"/>
    <x v="2"/>
    <n v="18943"/>
  </r>
  <r>
    <x v="6"/>
    <x v="1"/>
    <x v="3"/>
    <n v="18877"/>
  </r>
  <r>
    <x v="6"/>
    <x v="1"/>
    <x v="4"/>
    <n v="18971"/>
  </r>
  <r>
    <x v="6"/>
    <x v="1"/>
    <x v="5"/>
    <n v="18105"/>
  </r>
  <r>
    <x v="6"/>
    <x v="1"/>
    <x v="6"/>
    <n v="17380"/>
  </r>
  <r>
    <x v="6"/>
    <x v="1"/>
    <x v="7"/>
    <n v="17891"/>
  </r>
  <r>
    <x v="6"/>
    <x v="1"/>
    <x v="8"/>
    <n v="17591"/>
  </r>
  <r>
    <x v="6"/>
    <x v="1"/>
    <x v="9"/>
    <n v="15309"/>
  </r>
  <r>
    <x v="6"/>
    <x v="1"/>
    <x v="10"/>
    <n v="16847"/>
  </r>
  <r>
    <x v="6"/>
    <x v="1"/>
    <x v="11"/>
    <n v="18830"/>
  </r>
  <r>
    <x v="6"/>
    <x v="2"/>
    <x v="0"/>
    <n v="2969"/>
  </r>
  <r>
    <x v="6"/>
    <x v="2"/>
    <x v="1"/>
    <n v="3279"/>
  </r>
  <r>
    <x v="6"/>
    <x v="2"/>
    <x v="2"/>
    <n v="3250"/>
  </r>
  <r>
    <x v="6"/>
    <x v="2"/>
    <x v="3"/>
    <n v="3381"/>
  </r>
  <r>
    <x v="6"/>
    <x v="2"/>
    <x v="4"/>
    <n v="3256"/>
  </r>
  <r>
    <x v="6"/>
    <x v="2"/>
    <x v="5"/>
    <n v="3103"/>
  </r>
  <r>
    <x v="6"/>
    <x v="2"/>
    <x v="6"/>
    <n v="3083"/>
  </r>
  <r>
    <x v="6"/>
    <x v="2"/>
    <x v="7"/>
    <n v="3405"/>
  </r>
  <r>
    <x v="6"/>
    <x v="2"/>
    <x v="8"/>
    <n v="3241"/>
  </r>
  <r>
    <x v="6"/>
    <x v="2"/>
    <x v="9"/>
    <n v="3155"/>
  </r>
  <r>
    <x v="6"/>
    <x v="2"/>
    <x v="10"/>
    <n v="3793"/>
  </r>
  <r>
    <x v="6"/>
    <x v="2"/>
    <x v="11"/>
    <n v="4272"/>
  </r>
  <r>
    <x v="6"/>
    <x v="3"/>
    <x v="0"/>
    <n v="3597"/>
  </r>
  <r>
    <x v="6"/>
    <x v="3"/>
    <x v="1"/>
    <n v="3749"/>
  </r>
  <r>
    <x v="6"/>
    <x v="3"/>
    <x v="2"/>
    <n v="4093"/>
  </r>
  <r>
    <x v="6"/>
    <x v="3"/>
    <x v="3"/>
    <n v="4436"/>
  </r>
  <r>
    <x v="6"/>
    <x v="3"/>
    <x v="4"/>
    <n v="5183"/>
  </r>
  <r>
    <x v="6"/>
    <x v="3"/>
    <x v="5"/>
    <n v="6084"/>
  </r>
  <r>
    <x v="6"/>
    <x v="3"/>
    <x v="6"/>
    <n v="6495"/>
  </r>
  <r>
    <x v="6"/>
    <x v="3"/>
    <x v="7"/>
    <n v="4573"/>
  </r>
  <r>
    <x v="6"/>
    <x v="3"/>
    <x v="8"/>
    <n v="3316"/>
  </r>
  <r>
    <x v="6"/>
    <x v="3"/>
    <x v="9"/>
    <n v="2594"/>
  </r>
  <r>
    <x v="6"/>
    <x v="3"/>
    <x v="10"/>
    <n v="2487"/>
  </r>
  <r>
    <x v="6"/>
    <x v="3"/>
    <x v="11"/>
    <n v="2901"/>
  </r>
  <r>
    <x v="6"/>
    <x v="4"/>
    <x v="0"/>
    <n v="9260"/>
  </r>
  <r>
    <x v="6"/>
    <x v="4"/>
    <x v="1"/>
    <n v="9135"/>
  </r>
  <r>
    <x v="6"/>
    <x v="4"/>
    <x v="2"/>
    <n v="9353"/>
  </r>
  <r>
    <x v="6"/>
    <x v="4"/>
    <x v="3"/>
    <n v="9794"/>
  </r>
  <r>
    <x v="6"/>
    <x v="4"/>
    <x v="4"/>
    <n v="9629"/>
  </r>
  <r>
    <x v="6"/>
    <x v="4"/>
    <x v="5"/>
    <n v="9619"/>
  </r>
  <r>
    <x v="6"/>
    <x v="4"/>
    <x v="6"/>
    <n v="9277"/>
  </r>
  <r>
    <x v="6"/>
    <x v="4"/>
    <x v="7"/>
    <n v="9924"/>
  </r>
  <r>
    <x v="6"/>
    <x v="4"/>
    <x v="8"/>
    <n v="10538"/>
  </r>
  <r>
    <x v="6"/>
    <x v="4"/>
    <x v="9"/>
    <n v="8777"/>
  </r>
  <r>
    <x v="6"/>
    <x v="4"/>
    <x v="10"/>
    <n v="9942"/>
  </r>
  <r>
    <x v="6"/>
    <x v="4"/>
    <x v="11"/>
    <n v="11876"/>
  </r>
  <r>
    <x v="6"/>
    <x v="5"/>
    <x v="0"/>
    <n v="11081"/>
  </r>
  <r>
    <x v="6"/>
    <x v="5"/>
    <x v="1"/>
    <n v="12533"/>
  </r>
  <r>
    <x v="6"/>
    <x v="5"/>
    <x v="2"/>
    <n v="12886"/>
  </r>
  <r>
    <x v="6"/>
    <x v="5"/>
    <x v="3"/>
    <n v="13030"/>
  </r>
  <r>
    <x v="6"/>
    <x v="5"/>
    <x v="4"/>
    <n v="13212"/>
  </r>
  <r>
    <x v="6"/>
    <x v="5"/>
    <x v="5"/>
    <n v="13407"/>
  </r>
  <r>
    <x v="6"/>
    <x v="5"/>
    <x v="6"/>
    <n v="12800"/>
  </r>
  <r>
    <x v="6"/>
    <x v="5"/>
    <x v="7"/>
    <n v="13420"/>
  </r>
  <r>
    <x v="6"/>
    <x v="5"/>
    <x v="8"/>
    <n v="12735"/>
  </r>
  <r>
    <x v="6"/>
    <x v="5"/>
    <x v="9"/>
    <n v="11428"/>
  </r>
  <r>
    <x v="6"/>
    <x v="5"/>
    <x v="10"/>
    <n v="10782"/>
  </r>
  <r>
    <x v="6"/>
    <x v="5"/>
    <x v="11"/>
    <n v="12510"/>
  </r>
  <r>
    <x v="6"/>
    <x v="6"/>
    <x v="0"/>
    <n v="1722"/>
  </r>
  <r>
    <x v="6"/>
    <x v="6"/>
    <x v="1"/>
    <n v="1826"/>
  </r>
  <r>
    <x v="6"/>
    <x v="6"/>
    <x v="2"/>
    <n v="1731"/>
  </r>
  <r>
    <x v="6"/>
    <x v="6"/>
    <x v="3"/>
    <n v="1578"/>
  </r>
  <r>
    <x v="6"/>
    <x v="6"/>
    <x v="4"/>
    <n v="1719"/>
  </r>
  <r>
    <x v="6"/>
    <x v="6"/>
    <x v="5"/>
    <n v="1587"/>
  </r>
  <r>
    <x v="6"/>
    <x v="6"/>
    <x v="6"/>
    <n v="1538"/>
  </r>
  <r>
    <x v="6"/>
    <x v="6"/>
    <x v="7"/>
    <n v="1578"/>
  </r>
  <r>
    <x v="6"/>
    <x v="6"/>
    <x v="8"/>
    <n v="1590"/>
  </r>
  <r>
    <x v="6"/>
    <x v="6"/>
    <x v="9"/>
    <n v="1295"/>
  </r>
  <r>
    <x v="6"/>
    <x v="6"/>
    <x v="10"/>
    <n v="1317"/>
  </r>
  <r>
    <x v="6"/>
    <x v="6"/>
    <x v="11"/>
    <n v="1531"/>
  </r>
  <r>
    <x v="7"/>
    <x v="0"/>
    <x v="0"/>
    <n v="5366"/>
  </r>
  <r>
    <x v="7"/>
    <x v="0"/>
    <x v="1"/>
    <n v="5271"/>
  </r>
  <r>
    <x v="7"/>
    <x v="0"/>
    <x v="2"/>
    <n v="5409"/>
  </r>
  <r>
    <x v="7"/>
    <x v="0"/>
    <x v="3"/>
    <n v="5977"/>
  </r>
  <r>
    <x v="7"/>
    <x v="0"/>
    <x v="4"/>
    <n v="6281"/>
  </r>
  <r>
    <x v="7"/>
    <x v="0"/>
    <x v="5"/>
    <n v="7017"/>
  </r>
  <r>
    <x v="7"/>
    <x v="0"/>
    <x v="6"/>
    <n v="6825"/>
  </r>
  <r>
    <x v="7"/>
    <x v="0"/>
    <x v="7"/>
    <n v="7023"/>
  </r>
  <r>
    <x v="7"/>
    <x v="0"/>
    <x v="8"/>
    <n v="6807"/>
  </r>
  <r>
    <x v="7"/>
    <x v="0"/>
    <x v="9"/>
    <n v="5733"/>
  </r>
  <r>
    <x v="7"/>
    <x v="0"/>
    <x v="10"/>
    <n v="3071"/>
  </r>
  <r>
    <x v="7"/>
    <x v="0"/>
    <x v="11"/>
    <n v="3170"/>
  </r>
  <r>
    <x v="7"/>
    <x v="1"/>
    <x v="0"/>
    <n v="36112"/>
  </r>
  <r>
    <x v="7"/>
    <x v="1"/>
    <x v="1"/>
    <n v="36067"/>
  </r>
  <r>
    <x v="7"/>
    <x v="1"/>
    <x v="2"/>
    <n v="34473"/>
  </r>
  <r>
    <x v="7"/>
    <x v="1"/>
    <x v="3"/>
    <n v="35082"/>
  </r>
  <r>
    <x v="7"/>
    <x v="1"/>
    <x v="4"/>
    <n v="35224"/>
  </r>
  <r>
    <x v="7"/>
    <x v="1"/>
    <x v="5"/>
    <n v="35483"/>
  </r>
  <r>
    <x v="7"/>
    <x v="1"/>
    <x v="6"/>
    <n v="36604"/>
  </r>
  <r>
    <x v="7"/>
    <x v="1"/>
    <x v="7"/>
    <n v="37487"/>
  </r>
  <r>
    <x v="7"/>
    <x v="1"/>
    <x v="8"/>
    <n v="36286"/>
  </r>
  <r>
    <x v="7"/>
    <x v="1"/>
    <x v="9"/>
    <n v="31636"/>
  </r>
  <r>
    <x v="7"/>
    <x v="1"/>
    <x v="10"/>
    <n v="36782"/>
  </r>
  <r>
    <x v="7"/>
    <x v="1"/>
    <x v="11"/>
    <n v="40642"/>
  </r>
  <r>
    <x v="7"/>
    <x v="2"/>
    <x v="0"/>
    <n v="6913"/>
  </r>
  <r>
    <x v="7"/>
    <x v="2"/>
    <x v="1"/>
    <n v="6706"/>
  </r>
  <r>
    <x v="7"/>
    <x v="2"/>
    <x v="2"/>
    <n v="6201"/>
  </r>
  <r>
    <x v="7"/>
    <x v="2"/>
    <x v="3"/>
    <n v="6231"/>
  </r>
  <r>
    <x v="7"/>
    <x v="2"/>
    <x v="4"/>
    <n v="6076"/>
  </r>
  <r>
    <x v="7"/>
    <x v="2"/>
    <x v="5"/>
    <n v="6064"/>
  </r>
  <r>
    <x v="7"/>
    <x v="2"/>
    <x v="6"/>
    <n v="6144"/>
  </r>
  <r>
    <x v="7"/>
    <x v="2"/>
    <x v="7"/>
    <n v="6632"/>
  </r>
  <r>
    <x v="7"/>
    <x v="2"/>
    <x v="8"/>
    <n v="6210"/>
  </r>
  <r>
    <x v="7"/>
    <x v="2"/>
    <x v="9"/>
    <n v="5988"/>
  </r>
  <r>
    <x v="7"/>
    <x v="2"/>
    <x v="10"/>
    <n v="6739"/>
  </r>
  <r>
    <x v="7"/>
    <x v="2"/>
    <x v="11"/>
    <n v="7171"/>
  </r>
  <r>
    <x v="7"/>
    <x v="3"/>
    <x v="0"/>
    <n v="9894"/>
  </r>
  <r>
    <x v="7"/>
    <x v="3"/>
    <x v="1"/>
    <n v="11868"/>
  </r>
  <r>
    <x v="7"/>
    <x v="3"/>
    <x v="2"/>
    <n v="13882"/>
  </r>
  <r>
    <x v="7"/>
    <x v="3"/>
    <x v="3"/>
    <n v="14196"/>
  </r>
  <r>
    <x v="7"/>
    <x v="3"/>
    <x v="4"/>
    <n v="15537"/>
  </r>
  <r>
    <x v="7"/>
    <x v="3"/>
    <x v="5"/>
    <n v="15524"/>
  </r>
  <r>
    <x v="7"/>
    <x v="3"/>
    <x v="6"/>
    <n v="17485"/>
  </r>
  <r>
    <x v="7"/>
    <x v="3"/>
    <x v="7"/>
    <n v="13807"/>
  </r>
  <r>
    <x v="7"/>
    <x v="3"/>
    <x v="8"/>
    <n v="12028"/>
  </r>
  <r>
    <x v="7"/>
    <x v="3"/>
    <x v="9"/>
    <n v="5661"/>
  </r>
  <r>
    <x v="7"/>
    <x v="3"/>
    <x v="10"/>
    <n v="8494"/>
  </r>
  <r>
    <x v="7"/>
    <x v="3"/>
    <x v="11"/>
    <n v="10210"/>
  </r>
  <r>
    <x v="7"/>
    <x v="4"/>
    <x v="0"/>
    <n v="25208"/>
  </r>
  <r>
    <x v="7"/>
    <x v="4"/>
    <x v="1"/>
    <n v="26448"/>
  </r>
  <r>
    <x v="7"/>
    <x v="4"/>
    <x v="2"/>
    <n v="26064"/>
  </r>
  <r>
    <x v="7"/>
    <x v="4"/>
    <x v="3"/>
    <n v="24229"/>
  </r>
  <r>
    <x v="7"/>
    <x v="4"/>
    <x v="4"/>
    <n v="23151"/>
  </r>
  <r>
    <x v="7"/>
    <x v="4"/>
    <x v="5"/>
    <n v="21767"/>
  </r>
  <r>
    <x v="7"/>
    <x v="4"/>
    <x v="6"/>
    <n v="20020"/>
  </r>
  <r>
    <x v="7"/>
    <x v="4"/>
    <x v="7"/>
    <n v="21840"/>
  </r>
  <r>
    <x v="7"/>
    <x v="4"/>
    <x v="8"/>
    <n v="20358"/>
  </r>
  <r>
    <x v="7"/>
    <x v="4"/>
    <x v="9"/>
    <n v="18245"/>
  </r>
  <r>
    <x v="7"/>
    <x v="4"/>
    <x v="10"/>
    <n v="21647"/>
  </r>
  <r>
    <x v="7"/>
    <x v="4"/>
    <x v="11"/>
    <n v="23921"/>
  </r>
  <r>
    <x v="7"/>
    <x v="5"/>
    <x v="0"/>
    <n v="30389"/>
  </r>
  <r>
    <x v="7"/>
    <x v="5"/>
    <x v="1"/>
    <n v="31725"/>
  </r>
  <r>
    <x v="7"/>
    <x v="5"/>
    <x v="2"/>
    <n v="30657"/>
  </r>
  <r>
    <x v="7"/>
    <x v="5"/>
    <x v="3"/>
    <n v="31674"/>
  </r>
  <r>
    <x v="7"/>
    <x v="5"/>
    <x v="4"/>
    <n v="31469"/>
  </r>
  <r>
    <x v="7"/>
    <x v="5"/>
    <x v="5"/>
    <n v="33503"/>
  </r>
  <r>
    <x v="7"/>
    <x v="5"/>
    <x v="6"/>
    <n v="32255"/>
  </r>
  <r>
    <x v="7"/>
    <x v="5"/>
    <x v="7"/>
    <n v="33039"/>
  </r>
  <r>
    <x v="7"/>
    <x v="5"/>
    <x v="8"/>
    <n v="29877"/>
  </r>
  <r>
    <x v="7"/>
    <x v="5"/>
    <x v="9"/>
    <n v="25247"/>
  </r>
  <r>
    <x v="7"/>
    <x v="5"/>
    <x v="10"/>
    <n v="25020"/>
  </r>
  <r>
    <x v="7"/>
    <x v="5"/>
    <x v="11"/>
    <n v="26082"/>
  </r>
  <r>
    <x v="7"/>
    <x v="6"/>
    <x v="0"/>
    <n v="4885"/>
  </r>
  <r>
    <x v="7"/>
    <x v="6"/>
    <x v="1"/>
    <n v="5228"/>
  </r>
  <r>
    <x v="7"/>
    <x v="6"/>
    <x v="2"/>
    <n v="4616"/>
  </r>
  <r>
    <x v="7"/>
    <x v="6"/>
    <x v="3"/>
    <n v="4585"/>
  </r>
  <r>
    <x v="7"/>
    <x v="6"/>
    <x v="4"/>
    <n v="4164"/>
  </r>
  <r>
    <x v="7"/>
    <x v="6"/>
    <x v="5"/>
    <n v="4326"/>
  </r>
  <r>
    <x v="7"/>
    <x v="6"/>
    <x v="6"/>
    <n v="4182"/>
  </r>
  <r>
    <x v="7"/>
    <x v="6"/>
    <x v="7"/>
    <n v="4021"/>
  </r>
  <r>
    <x v="7"/>
    <x v="6"/>
    <x v="8"/>
    <n v="3824"/>
  </r>
  <r>
    <x v="7"/>
    <x v="6"/>
    <x v="9"/>
    <n v="3262"/>
  </r>
  <r>
    <x v="7"/>
    <x v="6"/>
    <x v="10"/>
    <n v="3737"/>
  </r>
  <r>
    <x v="7"/>
    <x v="6"/>
    <x v="11"/>
    <n v="3888"/>
  </r>
  <r>
    <x v="8"/>
    <x v="0"/>
    <x v="0"/>
    <n v="13739"/>
  </r>
  <r>
    <x v="8"/>
    <x v="0"/>
    <x v="1"/>
    <n v="16681"/>
  </r>
  <r>
    <x v="8"/>
    <x v="0"/>
    <x v="2"/>
    <n v="19484"/>
  </r>
  <r>
    <x v="8"/>
    <x v="0"/>
    <x v="3"/>
    <n v="23116"/>
  </r>
  <r>
    <x v="8"/>
    <x v="0"/>
    <x v="4"/>
    <n v="23732"/>
  </r>
  <r>
    <x v="8"/>
    <x v="0"/>
    <x v="5"/>
    <n v="24032"/>
  </r>
  <r>
    <x v="8"/>
    <x v="0"/>
    <x v="6"/>
    <n v="24329"/>
  </r>
  <r>
    <x v="8"/>
    <x v="0"/>
    <x v="7"/>
    <n v="24065"/>
  </r>
  <r>
    <x v="8"/>
    <x v="0"/>
    <x v="8"/>
    <n v="24549"/>
  </r>
  <r>
    <x v="8"/>
    <x v="0"/>
    <x v="9"/>
    <n v="19050"/>
  </r>
  <r>
    <x v="8"/>
    <x v="0"/>
    <x v="10"/>
    <n v="6953"/>
  </r>
  <r>
    <x v="8"/>
    <x v="0"/>
    <x v="11"/>
    <n v="7150"/>
  </r>
  <r>
    <x v="8"/>
    <x v="1"/>
    <x v="0"/>
    <n v="97301"/>
  </r>
  <r>
    <x v="8"/>
    <x v="1"/>
    <x v="1"/>
    <n v="103346"/>
  </r>
  <r>
    <x v="8"/>
    <x v="1"/>
    <x v="2"/>
    <n v="108589"/>
  </r>
  <r>
    <x v="8"/>
    <x v="1"/>
    <x v="3"/>
    <n v="116168"/>
  </r>
  <r>
    <x v="8"/>
    <x v="1"/>
    <x v="4"/>
    <n v="116858"/>
  </r>
  <r>
    <x v="8"/>
    <x v="1"/>
    <x v="5"/>
    <n v="114704"/>
  </r>
  <r>
    <x v="8"/>
    <x v="1"/>
    <x v="6"/>
    <n v="112996"/>
  </r>
  <r>
    <x v="8"/>
    <x v="1"/>
    <x v="7"/>
    <n v="113987"/>
  </r>
  <r>
    <x v="8"/>
    <x v="1"/>
    <x v="8"/>
    <n v="113508"/>
  </r>
  <r>
    <x v="8"/>
    <x v="1"/>
    <x v="9"/>
    <n v="94141"/>
  </r>
  <r>
    <x v="8"/>
    <x v="1"/>
    <x v="10"/>
    <n v="102057"/>
  </r>
  <r>
    <x v="8"/>
    <x v="1"/>
    <x v="11"/>
    <n v="112707"/>
  </r>
  <r>
    <x v="8"/>
    <x v="2"/>
    <x v="0"/>
    <n v="24731"/>
  </r>
  <r>
    <x v="8"/>
    <x v="2"/>
    <x v="1"/>
    <n v="25579"/>
  </r>
  <r>
    <x v="8"/>
    <x v="2"/>
    <x v="2"/>
    <n v="27107"/>
  </r>
  <r>
    <x v="8"/>
    <x v="2"/>
    <x v="3"/>
    <n v="30071"/>
  </r>
  <r>
    <x v="8"/>
    <x v="2"/>
    <x v="4"/>
    <n v="29974"/>
  </r>
  <r>
    <x v="8"/>
    <x v="2"/>
    <x v="5"/>
    <n v="29997"/>
  </r>
  <r>
    <x v="8"/>
    <x v="2"/>
    <x v="6"/>
    <n v="28763"/>
  </r>
  <r>
    <x v="8"/>
    <x v="2"/>
    <x v="7"/>
    <n v="29356"/>
  </r>
  <r>
    <x v="8"/>
    <x v="2"/>
    <x v="8"/>
    <n v="27837"/>
  </r>
  <r>
    <x v="8"/>
    <x v="2"/>
    <x v="9"/>
    <n v="24892"/>
  </r>
  <r>
    <x v="8"/>
    <x v="2"/>
    <x v="10"/>
    <n v="27050"/>
  </r>
  <r>
    <x v="8"/>
    <x v="2"/>
    <x v="11"/>
    <n v="28595"/>
  </r>
  <r>
    <x v="8"/>
    <x v="3"/>
    <x v="0"/>
    <n v="97179"/>
  </r>
  <r>
    <x v="8"/>
    <x v="3"/>
    <x v="1"/>
    <n v="100296"/>
  </r>
  <r>
    <x v="8"/>
    <x v="3"/>
    <x v="2"/>
    <n v="101967"/>
  </r>
  <r>
    <x v="8"/>
    <x v="3"/>
    <x v="3"/>
    <n v="105043"/>
  </r>
  <r>
    <x v="8"/>
    <x v="3"/>
    <x v="4"/>
    <n v="108782"/>
  </r>
  <r>
    <x v="8"/>
    <x v="3"/>
    <x v="5"/>
    <n v="123477"/>
  </r>
  <r>
    <x v="8"/>
    <x v="3"/>
    <x v="6"/>
    <n v="133521"/>
  </r>
  <r>
    <x v="8"/>
    <x v="3"/>
    <x v="7"/>
    <n v="97223"/>
  </r>
  <r>
    <x v="8"/>
    <x v="3"/>
    <x v="8"/>
    <n v="78174"/>
  </r>
  <r>
    <x v="8"/>
    <x v="3"/>
    <x v="9"/>
    <n v="50998"/>
  </r>
  <r>
    <x v="8"/>
    <x v="3"/>
    <x v="10"/>
    <n v="68641"/>
  </r>
  <r>
    <x v="8"/>
    <x v="3"/>
    <x v="11"/>
    <n v="79106"/>
  </r>
  <r>
    <x v="8"/>
    <x v="4"/>
    <x v="0"/>
    <n v="120526"/>
  </r>
  <r>
    <x v="8"/>
    <x v="4"/>
    <x v="1"/>
    <n v="118224"/>
  </r>
  <r>
    <x v="8"/>
    <x v="4"/>
    <x v="2"/>
    <n v="119540"/>
  </r>
  <r>
    <x v="8"/>
    <x v="4"/>
    <x v="3"/>
    <n v="122225"/>
  </r>
  <r>
    <x v="8"/>
    <x v="4"/>
    <x v="4"/>
    <n v="116510"/>
  </r>
  <r>
    <x v="8"/>
    <x v="4"/>
    <x v="5"/>
    <n v="112239"/>
  </r>
  <r>
    <x v="8"/>
    <x v="4"/>
    <x v="6"/>
    <n v="105822"/>
  </r>
  <r>
    <x v="8"/>
    <x v="4"/>
    <x v="7"/>
    <n v="103847"/>
  </r>
  <r>
    <x v="8"/>
    <x v="4"/>
    <x v="8"/>
    <n v="94591"/>
  </r>
  <r>
    <x v="8"/>
    <x v="4"/>
    <x v="9"/>
    <n v="73600"/>
  </r>
  <r>
    <x v="8"/>
    <x v="4"/>
    <x v="10"/>
    <n v="84962"/>
  </r>
  <r>
    <x v="8"/>
    <x v="4"/>
    <x v="11"/>
    <n v="96174"/>
  </r>
  <r>
    <x v="8"/>
    <x v="5"/>
    <x v="0"/>
    <n v="104013"/>
  </r>
  <r>
    <x v="8"/>
    <x v="5"/>
    <x v="1"/>
    <n v="114122"/>
  </r>
  <r>
    <x v="8"/>
    <x v="5"/>
    <x v="2"/>
    <n v="116773"/>
  </r>
  <r>
    <x v="8"/>
    <x v="5"/>
    <x v="3"/>
    <n v="113472"/>
  </r>
  <r>
    <x v="8"/>
    <x v="5"/>
    <x v="4"/>
    <n v="111610"/>
  </r>
  <r>
    <x v="8"/>
    <x v="5"/>
    <x v="5"/>
    <n v="104754"/>
  </r>
  <r>
    <x v="8"/>
    <x v="5"/>
    <x v="6"/>
    <n v="97630"/>
  </r>
  <r>
    <x v="8"/>
    <x v="5"/>
    <x v="7"/>
    <n v="92015"/>
  </r>
  <r>
    <x v="8"/>
    <x v="5"/>
    <x v="8"/>
    <n v="86337"/>
  </r>
  <r>
    <x v="8"/>
    <x v="5"/>
    <x v="9"/>
    <n v="64739"/>
  </r>
  <r>
    <x v="8"/>
    <x v="5"/>
    <x v="10"/>
    <n v="61486"/>
  </r>
  <r>
    <x v="8"/>
    <x v="5"/>
    <x v="11"/>
    <n v="66272"/>
  </r>
  <r>
    <x v="8"/>
    <x v="6"/>
    <x v="0"/>
    <n v="8809"/>
  </r>
  <r>
    <x v="8"/>
    <x v="6"/>
    <x v="1"/>
    <n v="8440"/>
  </r>
  <r>
    <x v="8"/>
    <x v="6"/>
    <x v="2"/>
    <n v="7760"/>
  </r>
  <r>
    <x v="8"/>
    <x v="6"/>
    <x v="3"/>
    <n v="7369"/>
  </r>
  <r>
    <x v="8"/>
    <x v="6"/>
    <x v="4"/>
    <n v="7130"/>
  </r>
  <r>
    <x v="8"/>
    <x v="6"/>
    <x v="5"/>
    <n v="7115"/>
  </r>
  <r>
    <x v="8"/>
    <x v="6"/>
    <x v="6"/>
    <n v="7075"/>
  </r>
  <r>
    <x v="8"/>
    <x v="6"/>
    <x v="7"/>
    <n v="7043"/>
  </r>
  <r>
    <x v="8"/>
    <x v="6"/>
    <x v="8"/>
    <n v="7303"/>
  </r>
  <r>
    <x v="8"/>
    <x v="6"/>
    <x v="9"/>
    <n v="6437"/>
  </r>
  <r>
    <x v="8"/>
    <x v="6"/>
    <x v="10"/>
    <n v="7163"/>
  </r>
  <r>
    <x v="8"/>
    <x v="6"/>
    <x v="11"/>
    <n v="73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D1AB15-1AD2-495B-9259-5429AD07DEED}" name="crime_incidents_by_category"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9">
  <location ref="A42:B50" firstHeaderRow="1" firstDataRow="1" firstDataCol="1"/>
  <pivotFields count="4">
    <pivotField showAll="0">
      <items count="10">
        <item x="0"/>
        <item x="1"/>
        <item x="2"/>
        <item x="3"/>
        <item x="4"/>
        <item x="5"/>
        <item x="6"/>
        <item x="7"/>
        <item x="8"/>
        <item t="default"/>
      </items>
    </pivotField>
    <pivotField axis="axisRow" showAll="0">
      <items count="8">
        <item x="0"/>
        <item x="1"/>
        <item x="2"/>
        <item x="3"/>
        <item x="4"/>
        <item x="5"/>
        <item x="6"/>
        <item t="default"/>
      </items>
    </pivotField>
    <pivotField showAll="0">
      <items count="13">
        <item x="0"/>
        <item x="1"/>
        <item x="2"/>
        <item x="3"/>
        <item x="4"/>
        <item x="5"/>
        <item x="6"/>
        <item x="7"/>
        <item x="8"/>
        <item x="9"/>
        <item x="10"/>
        <item x="11"/>
        <item t="default"/>
      </items>
    </pivotField>
    <pivotField dataField="1" showAll="0"/>
  </pivotFields>
  <rowFields count="1">
    <field x="1"/>
  </rowFields>
  <rowItems count="8">
    <i>
      <x/>
    </i>
    <i>
      <x v="1"/>
    </i>
    <i>
      <x v="2"/>
    </i>
    <i>
      <x v="3"/>
    </i>
    <i>
      <x v="4"/>
    </i>
    <i>
      <x v="5"/>
    </i>
    <i>
      <x v="6"/>
    </i>
    <i t="grand">
      <x/>
    </i>
  </rowItems>
  <colItems count="1">
    <i/>
  </colItems>
  <dataFields count="1">
    <dataField name="Sum of Count" fld="3" baseField="0" baseItem="0" numFmtId="3"/>
  </dataFields>
  <formats count="2">
    <format dxfId="1">
      <pivotArea dataOnly="0" labelOnly="1" grandCol="1" outline="0" fieldPosition="0"/>
    </format>
    <format dxfId="0">
      <pivotArea outline="0" collapsedLevelsAreSubtotals="1" fieldPosition="0"/>
    </format>
  </formats>
  <chartFormats count="1">
    <chartFormat chart="17" format="1"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DD11C2-6244-4F38-9D7B-A4DE94E34EC8}" name="crime_incidents_by_province_and_year"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7">
  <location ref="A8:N19" firstHeaderRow="1" firstDataRow="2" firstDataCol="1"/>
  <pivotFields count="4">
    <pivotField axis="axisRow" showAll="0">
      <items count="10">
        <item x="0"/>
        <item x="1"/>
        <item x="2"/>
        <item x="3"/>
        <item x="4"/>
        <item x="5"/>
        <item x="6"/>
        <item x="7"/>
        <item x="8"/>
        <item t="default"/>
      </items>
    </pivotField>
    <pivotField showAll="0"/>
    <pivotField axis="axisCol" showAll="0">
      <items count="13">
        <item x="0"/>
        <item x="1"/>
        <item x="2"/>
        <item x="3"/>
        <item x="4"/>
        <item x="5"/>
        <item x="6"/>
        <item x="7"/>
        <item x="8"/>
        <item x="9"/>
        <item x="10"/>
        <item x="11"/>
        <item t="default"/>
      </items>
    </pivotField>
    <pivotField dataField="1" showAll="0"/>
  </pivotFields>
  <rowFields count="1">
    <field x="0"/>
  </rowFields>
  <rowItems count="10">
    <i>
      <x/>
    </i>
    <i>
      <x v="1"/>
    </i>
    <i>
      <x v="2"/>
    </i>
    <i>
      <x v="3"/>
    </i>
    <i>
      <x v="4"/>
    </i>
    <i>
      <x v="5"/>
    </i>
    <i>
      <x v="6"/>
    </i>
    <i>
      <x v="7"/>
    </i>
    <i>
      <x v="8"/>
    </i>
    <i t="grand">
      <x/>
    </i>
  </rowItems>
  <colFields count="1">
    <field x="2"/>
  </colFields>
  <colItems count="13">
    <i>
      <x/>
    </i>
    <i>
      <x v="1"/>
    </i>
    <i>
      <x v="2"/>
    </i>
    <i>
      <x v="3"/>
    </i>
    <i>
      <x v="4"/>
    </i>
    <i>
      <x v="5"/>
    </i>
    <i>
      <x v="6"/>
    </i>
    <i>
      <x v="7"/>
    </i>
    <i>
      <x v="8"/>
    </i>
    <i>
      <x v="9"/>
    </i>
    <i>
      <x v="10"/>
    </i>
    <i>
      <x v="11"/>
    </i>
    <i t="grand">
      <x/>
    </i>
  </colItems>
  <dataFields count="1">
    <dataField name="Sum of Count" fld="3" baseField="0" baseItem="0" numFmtId="3"/>
  </dataFields>
  <formats count="5">
    <format dxfId="6">
      <pivotArea collapsedLevelsAreSubtotals="1" fieldPosition="0">
        <references count="1">
          <reference field="0" count="0"/>
        </references>
      </pivotArea>
    </format>
    <format dxfId="5">
      <pivotArea collapsedLevelsAreSubtotals="1" fieldPosition="0">
        <references count="1">
          <reference field="0" count="0"/>
        </references>
      </pivotArea>
    </format>
    <format dxfId="4">
      <pivotArea dataOnly="0" labelOnly="1" fieldPosition="0">
        <references count="1">
          <reference field="2" count="0"/>
        </references>
      </pivotArea>
    </format>
    <format dxfId="3">
      <pivotArea dataOnly="0" labelOnly="1" grandCol="1" outline="0" fieldPosition="0"/>
    </format>
    <format dxfId="2">
      <pivotArea outline="0" collapsedLevelsAreSubtotals="1" fieldPosition="0"/>
    </format>
  </formats>
  <conditionalFormats count="1">
    <conditionalFormat priority="3">
      <pivotAreas count="1">
        <pivotArea type="data" collapsedLevelsAreSubtotals="1" fieldPosition="0">
          <references count="3">
            <reference field="4294967294" count="1" selected="0">
              <x v="0"/>
            </reference>
            <reference field="0" count="9">
              <x v="0"/>
              <x v="1"/>
              <x v="2"/>
              <x v="3"/>
              <x v="4"/>
              <x v="5"/>
              <x v="6"/>
              <x v="7"/>
              <x v="8"/>
            </reference>
            <reference field="2" count="12" selected="0">
              <x v="0"/>
              <x v="1"/>
              <x v="2"/>
              <x v="3"/>
              <x v="4"/>
              <x v="5"/>
              <x v="6"/>
              <x v="7"/>
              <x v="8"/>
              <x v="9"/>
              <x v="10"/>
              <x v="11"/>
            </reference>
          </references>
        </pivotArea>
      </pivotAreas>
    </conditionalFormat>
  </conditionalFormats>
  <chartFormats count="48">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1" format="5" series="1">
      <pivotArea type="data" outline="0" fieldPosition="0">
        <references count="2">
          <reference field="4294967294" count="1" selected="0">
            <x v="0"/>
          </reference>
          <reference field="2" count="1" selected="0">
            <x v="5"/>
          </reference>
        </references>
      </pivotArea>
    </chartFormat>
    <chartFormat chart="1" format="6" series="1">
      <pivotArea type="data" outline="0" fieldPosition="0">
        <references count="2">
          <reference field="4294967294" count="1" selected="0">
            <x v="0"/>
          </reference>
          <reference field="2" count="1" selected="0">
            <x v="6"/>
          </reference>
        </references>
      </pivotArea>
    </chartFormat>
    <chartFormat chart="1" format="7" series="1">
      <pivotArea type="data" outline="0" fieldPosition="0">
        <references count="2">
          <reference field="4294967294" count="1" selected="0">
            <x v="0"/>
          </reference>
          <reference field="2" count="1" selected="0">
            <x v="7"/>
          </reference>
        </references>
      </pivotArea>
    </chartFormat>
    <chartFormat chart="1" format="8" series="1">
      <pivotArea type="data" outline="0" fieldPosition="0">
        <references count="2">
          <reference field="4294967294" count="1" selected="0">
            <x v="0"/>
          </reference>
          <reference field="2" count="1" selected="0">
            <x v="8"/>
          </reference>
        </references>
      </pivotArea>
    </chartFormat>
    <chartFormat chart="1" format="9" series="1">
      <pivotArea type="data" outline="0" fieldPosition="0">
        <references count="2">
          <reference field="4294967294" count="1" selected="0">
            <x v="0"/>
          </reference>
          <reference field="2" count="1" selected="0">
            <x v="9"/>
          </reference>
        </references>
      </pivotArea>
    </chartFormat>
    <chartFormat chart="1" format="10" series="1">
      <pivotArea type="data" outline="0" fieldPosition="0">
        <references count="2">
          <reference field="4294967294" count="1" selected="0">
            <x v="0"/>
          </reference>
          <reference field="2" count="1" selected="0">
            <x v="10"/>
          </reference>
        </references>
      </pivotArea>
    </chartFormat>
    <chartFormat chart="1" format="11" series="1">
      <pivotArea type="data" outline="0" fieldPosition="0">
        <references count="2">
          <reference field="4294967294" count="1" selected="0">
            <x v="0"/>
          </reference>
          <reference field="2" count="1" selected="0">
            <x v="11"/>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2" format="5" series="1">
      <pivotArea type="data" outline="0" fieldPosition="0">
        <references count="2">
          <reference field="4294967294" count="1" selected="0">
            <x v="0"/>
          </reference>
          <reference field="2" count="1" selected="0">
            <x v="5"/>
          </reference>
        </references>
      </pivotArea>
    </chartFormat>
    <chartFormat chart="2" format="6" series="1">
      <pivotArea type="data" outline="0" fieldPosition="0">
        <references count="2">
          <reference field="4294967294" count="1" selected="0">
            <x v="0"/>
          </reference>
          <reference field="2" count="1" selected="0">
            <x v="6"/>
          </reference>
        </references>
      </pivotArea>
    </chartFormat>
    <chartFormat chart="2" format="7" series="1">
      <pivotArea type="data" outline="0" fieldPosition="0">
        <references count="2">
          <reference field="4294967294" count="1" selected="0">
            <x v="0"/>
          </reference>
          <reference field="2" count="1" selected="0">
            <x v="7"/>
          </reference>
        </references>
      </pivotArea>
    </chartFormat>
    <chartFormat chart="2" format="8" series="1">
      <pivotArea type="data" outline="0" fieldPosition="0">
        <references count="2">
          <reference field="4294967294" count="1" selected="0">
            <x v="0"/>
          </reference>
          <reference field="2" count="1" selected="0">
            <x v="8"/>
          </reference>
        </references>
      </pivotArea>
    </chartFormat>
    <chartFormat chart="2" format="9" series="1">
      <pivotArea type="data" outline="0" fieldPosition="0">
        <references count="2">
          <reference field="4294967294" count="1" selected="0">
            <x v="0"/>
          </reference>
          <reference field="2" count="1" selected="0">
            <x v="9"/>
          </reference>
        </references>
      </pivotArea>
    </chartFormat>
    <chartFormat chart="2" format="10" series="1">
      <pivotArea type="data" outline="0" fieldPosition="0">
        <references count="2">
          <reference field="4294967294" count="1" selected="0">
            <x v="0"/>
          </reference>
          <reference field="2" count="1" selected="0">
            <x v="10"/>
          </reference>
        </references>
      </pivotArea>
    </chartFormat>
    <chartFormat chart="2" format="11" series="1">
      <pivotArea type="data" outline="0" fieldPosition="0">
        <references count="2">
          <reference field="4294967294" count="1" selected="0">
            <x v="0"/>
          </reference>
          <reference field="2" count="1" selected="0">
            <x v="11"/>
          </reference>
        </references>
      </pivotArea>
    </chartFormat>
    <chartFormat chart="14" format="0" series="1">
      <pivotArea type="data" outline="0" fieldPosition="0">
        <references count="2">
          <reference field="4294967294" count="1" selected="0">
            <x v="0"/>
          </reference>
          <reference field="2" count="1" selected="0">
            <x v="0"/>
          </reference>
        </references>
      </pivotArea>
    </chartFormat>
    <chartFormat chart="14" format="1" series="1">
      <pivotArea type="data" outline="0" fieldPosition="0">
        <references count="2">
          <reference field="4294967294" count="1" selected="0">
            <x v="0"/>
          </reference>
          <reference field="2" count="1" selected="0">
            <x v="1"/>
          </reference>
        </references>
      </pivotArea>
    </chartFormat>
    <chartFormat chart="14" format="2" series="1">
      <pivotArea type="data" outline="0" fieldPosition="0">
        <references count="2">
          <reference field="4294967294" count="1" selected="0">
            <x v="0"/>
          </reference>
          <reference field="2" count="1" selected="0">
            <x v="2"/>
          </reference>
        </references>
      </pivotArea>
    </chartFormat>
    <chartFormat chart="14" format="3" series="1">
      <pivotArea type="data" outline="0" fieldPosition="0">
        <references count="2">
          <reference field="4294967294" count="1" selected="0">
            <x v="0"/>
          </reference>
          <reference field="2" count="1" selected="0">
            <x v="3"/>
          </reference>
        </references>
      </pivotArea>
    </chartFormat>
    <chartFormat chart="14" format="4" series="1">
      <pivotArea type="data" outline="0" fieldPosition="0">
        <references count="2">
          <reference field="4294967294" count="1" selected="0">
            <x v="0"/>
          </reference>
          <reference field="2" count="1" selected="0">
            <x v="4"/>
          </reference>
        </references>
      </pivotArea>
    </chartFormat>
    <chartFormat chart="14" format="5" series="1">
      <pivotArea type="data" outline="0" fieldPosition="0">
        <references count="2">
          <reference field="4294967294" count="1" selected="0">
            <x v="0"/>
          </reference>
          <reference field="2" count="1" selected="0">
            <x v="5"/>
          </reference>
        </references>
      </pivotArea>
    </chartFormat>
    <chartFormat chart="14" format="6" series="1">
      <pivotArea type="data" outline="0" fieldPosition="0">
        <references count="2">
          <reference field="4294967294" count="1" selected="0">
            <x v="0"/>
          </reference>
          <reference field="2" count="1" selected="0">
            <x v="6"/>
          </reference>
        </references>
      </pivotArea>
    </chartFormat>
    <chartFormat chart="14" format="7" series="1">
      <pivotArea type="data" outline="0" fieldPosition="0">
        <references count="2">
          <reference field="4294967294" count="1" selected="0">
            <x v="0"/>
          </reference>
          <reference field="2" count="1" selected="0">
            <x v="7"/>
          </reference>
        </references>
      </pivotArea>
    </chartFormat>
    <chartFormat chart="14" format="8" series="1">
      <pivotArea type="data" outline="0" fieldPosition="0">
        <references count="2">
          <reference field="4294967294" count="1" selected="0">
            <x v="0"/>
          </reference>
          <reference field="2" count="1" selected="0">
            <x v="8"/>
          </reference>
        </references>
      </pivotArea>
    </chartFormat>
    <chartFormat chart="14" format="9" series="1">
      <pivotArea type="data" outline="0" fieldPosition="0">
        <references count="2">
          <reference field="4294967294" count="1" selected="0">
            <x v="0"/>
          </reference>
          <reference field="2" count="1" selected="0">
            <x v="9"/>
          </reference>
        </references>
      </pivotArea>
    </chartFormat>
    <chartFormat chart="14" format="10" series="1">
      <pivotArea type="data" outline="0" fieldPosition="0">
        <references count="2">
          <reference field="4294967294" count="1" selected="0">
            <x v="0"/>
          </reference>
          <reference field="2" count="1" selected="0">
            <x v="10"/>
          </reference>
        </references>
      </pivotArea>
    </chartFormat>
    <chartFormat chart="14" format="11" series="1">
      <pivotArea type="data" outline="0" fieldPosition="0">
        <references count="2">
          <reference field="4294967294" count="1" selected="0">
            <x v="0"/>
          </reference>
          <reference field="2" count="1" selected="0">
            <x v="11"/>
          </reference>
        </references>
      </pivotArea>
    </chartFormat>
    <chartFormat chart="16" format="0" series="1">
      <pivotArea type="data" outline="0" fieldPosition="0">
        <references count="2">
          <reference field="4294967294" count="1" selected="0">
            <x v="0"/>
          </reference>
          <reference field="2" count="1" selected="0">
            <x v="0"/>
          </reference>
        </references>
      </pivotArea>
    </chartFormat>
    <chartFormat chart="16" format="1" series="1">
      <pivotArea type="data" outline="0" fieldPosition="0">
        <references count="2">
          <reference field="4294967294" count="1" selected="0">
            <x v="0"/>
          </reference>
          <reference field="2" count="1" selected="0">
            <x v="1"/>
          </reference>
        </references>
      </pivotArea>
    </chartFormat>
    <chartFormat chart="16" format="2" series="1">
      <pivotArea type="data" outline="0" fieldPosition="0">
        <references count="2">
          <reference field="4294967294" count="1" selected="0">
            <x v="0"/>
          </reference>
          <reference field="2" count="1" selected="0">
            <x v="2"/>
          </reference>
        </references>
      </pivotArea>
    </chartFormat>
    <chartFormat chart="16" format="3" series="1">
      <pivotArea type="data" outline="0" fieldPosition="0">
        <references count="2">
          <reference field="4294967294" count="1" selected="0">
            <x v="0"/>
          </reference>
          <reference field="2" count="1" selected="0">
            <x v="3"/>
          </reference>
        </references>
      </pivotArea>
    </chartFormat>
    <chartFormat chart="16" format="4" series="1">
      <pivotArea type="data" outline="0" fieldPosition="0">
        <references count="2">
          <reference field="4294967294" count="1" selected="0">
            <x v="0"/>
          </reference>
          <reference field="2" count="1" selected="0">
            <x v="4"/>
          </reference>
        </references>
      </pivotArea>
    </chartFormat>
    <chartFormat chart="16" format="5" series="1">
      <pivotArea type="data" outline="0" fieldPosition="0">
        <references count="2">
          <reference field="4294967294" count="1" selected="0">
            <x v="0"/>
          </reference>
          <reference field="2" count="1" selected="0">
            <x v="5"/>
          </reference>
        </references>
      </pivotArea>
    </chartFormat>
    <chartFormat chart="16" format="6" series="1">
      <pivotArea type="data" outline="0" fieldPosition="0">
        <references count="2">
          <reference field="4294967294" count="1" selected="0">
            <x v="0"/>
          </reference>
          <reference field="2" count="1" selected="0">
            <x v="6"/>
          </reference>
        </references>
      </pivotArea>
    </chartFormat>
    <chartFormat chart="16" format="7" series="1">
      <pivotArea type="data" outline="0" fieldPosition="0">
        <references count="2">
          <reference field="4294967294" count="1" selected="0">
            <x v="0"/>
          </reference>
          <reference field="2" count="1" selected="0">
            <x v="7"/>
          </reference>
        </references>
      </pivotArea>
    </chartFormat>
    <chartFormat chart="16" format="8" series="1">
      <pivotArea type="data" outline="0" fieldPosition="0">
        <references count="2">
          <reference field="4294967294" count="1" selected="0">
            <x v="0"/>
          </reference>
          <reference field="2" count="1" selected="0">
            <x v="8"/>
          </reference>
        </references>
      </pivotArea>
    </chartFormat>
    <chartFormat chart="16" format="9" series="1">
      <pivotArea type="data" outline="0" fieldPosition="0">
        <references count="2">
          <reference field="4294967294" count="1" selected="0">
            <x v="0"/>
          </reference>
          <reference field="2" count="1" selected="0">
            <x v="9"/>
          </reference>
        </references>
      </pivotArea>
    </chartFormat>
    <chartFormat chart="16" format="10" series="1">
      <pivotArea type="data" outline="0" fieldPosition="0">
        <references count="2">
          <reference field="4294967294" count="1" selected="0">
            <x v="0"/>
          </reference>
          <reference field="2" count="1" selected="0">
            <x v="10"/>
          </reference>
        </references>
      </pivotArea>
    </chartFormat>
    <chartFormat chart="16" format="11" series="1">
      <pivotArea type="data" outline="0" fieldPosition="0">
        <references count="2">
          <reference field="4294967294" count="1" selected="0">
            <x v="0"/>
          </reference>
          <reference field="2" count="1" selected="0">
            <x v="1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EEF9B73-1080-4A37-A10C-5735AA1E323B}" autoFormatId="16" applyNumberFormats="0" applyBorderFormats="0" applyFontFormats="0" applyPatternFormats="0" applyAlignmentFormats="0" applyWidthHeightFormats="0">
  <queryTableRefresh nextId="5">
    <queryTableFields count="4">
      <queryTableField id="1" name="Geography" tableColumnId="1"/>
      <queryTableField id="2" name="Crime Category" tableColumnId="2"/>
      <queryTableField id="3" name="Financial Year" tableColumnId="3"/>
      <queryTableField id="4" name="Count"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C27A6B6E-042B-4CAD-A95F-58EB4F400B10}" autoFormatId="16" applyNumberFormats="0" applyBorderFormats="0" applyFontFormats="0" applyPatternFormats="0" applyAlignmentFormats="0" applyWidthHeightFormats="0">
  <queryTableRefresh nextId="7">
    <queryTableFields count="4">
      <queryTableField id="1" name="Geography" tableColumnId="1"/>
      <queryTableField id="2" name="Crime Category" tableColumnId="2"/>
      <queryTableField id="3" name="Financial Year" tableColumnId="3"/>
      <queryTableField id="4" name="Count"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5386A6F0-8E7D-4713-BFC6-3A444080D4F5}" sourceName="Financial Year">
  <pivotTables>
    <pivotTable tabId="3" name="crime_incidents_by_category"/>
  </pivotTables>
  <data>
    <tabular pivotCacheId="204453403">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ncial Year" xr10:uid="{4434F1CB-7874-4151-9665-0CD99C32C538}" cache="Slicer_Financial_Year" caption="Financial Year For Crime Category" style="SlicerStyleDark3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C3EA298-C7C6-4268-A83D-F28AE06F03BF}" name="crime_incidents_original" displayName="crime_incidents_original" ref="A9:D849" tableType="queryTable" totalsRowShown="0">
  <autoFilter ref="A9:D849" xr:uid="{FC3EA298-C7C6-4268-A83D-F28AE06F03BF}">
    <filterColumn colId="0" hiddenButton="1"/>
    <filterColumn colId="1" hiddenButton="1"/>
    <filterColumn colId="2" hiddenButton="1"/>
    <filterColumn colId="3" hiddenButton="1"/>
  </autoFilter>
  <tableColumns count="4">
    <tableColumn id="1" xr3:uid="{A9B6BBD3-5580-4E69-935F-5C1C5F978FA1}" uniqueName="1" name="Geography" queryTableFieldId="1" dataDxfId="14"/>
    <tableColumn id="2" xr3:uid="{1EA2C3ED-4FEE-448D-B6F3-B00132D530D3}" uniqueName="2" name="Crime Category" queryTableFieldId="2" dataDxfId="13"/>
    <tableColumn id="3" xr3:uid="{FD28B602-1171-4E28-9384-9B1388CBCB26}" uniqueName="3" name="Financial Year" queryTableFieldId="3" dataDxfId="12"/>
    <tableColumn id="4" xr3:uid="{87FB4D80-ABA5-4018-A1EA-3BC2F851E877}" uniqueName="4" name="Count" queryTableFieldId="4"/>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A22208D-BB09-47F6-A44D-5FAFB392223B}" name="crime_incidents_za" displayName="crime_incidents_za" ref="G9:K93" totalsRowShown="0">
  <autoFilter ref="G9:K93" xr:uid="{2A22208D-BB09-47F6-A44D-5FAFB392223B}">
    <filterColumn colId="0" hiddenButton="1"/>
    <filterColumn colId="1" hiddenButton="1"/>
    <filterColumn colId="2" hiddenButton="1"/>
    <filterColumn colId="3" hiddenButton="1"/>
    <filterColumn colId="4" hiddenButton="1"/>
  </autoFilter>
  <tableColumns count="5">
    <tableColumn id="1" xr3:uid="{F5370572-348A-4931-A304-14320A91A676}" name="Crime Category"/>
    <tableColumn id="2" xr3:uid="{C6CC880D-2360-4806-A56B-1743A99D2DBE}" name="Financial Year"/>
    <tableColumn id="3" xr3:uid="{23F3A92D-3230-4FDA-9E37-B2DE508BADF3}" name="Count"/>
    <tableColumn id="4" xr3:uid="{57869A45-6484-448E-84CC-8F4EF1CA67E9}" name="SumCount" dataDxfId="11">
      <calculatedColumnFormula>SUMIFS(Count_filt,Crime_Category_filt,crime_incidents_za[[#This Row],[Crime Category]],Financial_Year_filt,crime_incidents_za[[#This Row],[Financial Year]])</calculatedColumnFormula>
    </tableColumn>
    <tableColumn id="5" xr3:uid="{0ACAEC3C-3352-454F-BA7A-E0EC7FA4703B}" name="Discrepancy" dataDxfId="10">
      <calculatedColumnFormula>ABS(crime_incidents_za[[#This Row],[SumCount]]-crime_incidents_za[[#This Row],[Count]])</calculatedColumnFormula>
    </tableColumn>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2936379-A717-4393-9C29-797A7196F94D}" name="crime_incidents_filtered" displayName="crime_incidents_filtered" ref="N9:Q765" tableType="queryTable" totalsRowShown="0">
  <autoFilter ref="N9:Q765" xr:uid="{62936379-A717-4393-9C29-797A7196F94D}">
    <filterColumn colId="0" hiddenButton="1"/>
    <filterColumn colId="1" hiddenButton="1"/>
    <filterColumn colId="2" hiddenButton="1"/>
    <filterColumn colId="3" hiddenButton="1"/>
  </autoFilter>
  <sortState xmlns:xlrd2="http://schemas.microsoft.com/office/spreadsheetml/2017/richdata2" ref="N10:Q765">
    <sortCondition ref="N10:N765"/>
    <sortCondition ref="O10:O765"/>
    <sortCondition ref="P10:P765"/>
  </sortState>
  <tableColumns count="4">
    <tableColumn id="1" xr3:uid="{79F71700-1D3B-4D3B-8B87-DAD4D7D0866B}" uniqueName="1" name="Geography" queryTableFieldId="1" dataDxfId="9"/>
    <tableColumn id="2" xr3:uid="{6DBF5020-F575-4640-B58B-175C42088FD1}" uniqueName="2" name="Crime Category" queryTableFieldId="2" dataDxfId="8"/>
    <tableColumn id="3" xr3:uid="{D616F8C4-1C2A-4BF1-9F99-62AF25273FC0}" uniqueName="3" name="Financial Year" queryTableFieldId="3" dataDxfId="7"/>
    <tableColumn id="4" xr3:uid="{E9C482E3-CC7F-4053-9C83-2B71B6832BFF}" uniqueName="4" name="Count" queryTableFieldId="4"/>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B278C-7FE3-4021-8AE2-651EDDF730CD}">
  <dimension ref="A1:X849"/>
  <sheetViews>
    <sheetView showGridLines="0" zoomScale="80" zoomScaleNormal="80" workbookViewId="0">
      <selection sqref="A1:Q3"/>
    </sheetView>
  </sheetViews>
  <sheetFormatPr defaultRowHeight="15" x14ac:dyDescent="0.25"/>
  <cols>
    <col min="1" max="1" width="14.28515625" bestFit="1" customWidth="1"/>
    <col min="2" max="2" width="43.85546875" bestFit="1" customWidth="1"/>
    <col min="3" max="3" width="18.28515625" bestFit="1" customWidth="1"/>
    <col min="4" max="4" width="8.7109375" bestFit="1" customWidth="1"/>
    <col min="6" max="6" width="7.5703125" customWidth="1"/>
    <col min="7" max="7" width="43.85546875" bestFit="1" customWidth="1"/>
    <col min="8" max="8" width="18.28515625" bestFit="1" customWidth="1"/>
    <col min="9" max="9" width="8.7109375" bestFit="1" customWidth="1"/>
    <col min="10" max="10" width="13.42578125" bestFit="1" customWidth="1"/>
    <col min="11" max="11" width="15.85546875" bestFit="1" customWidth="1"/>
    <col min="12" max="12" width="8.28515625" customWidth="1"/>
    <col min="13" max="13" width="8.140625" customWidth="1"/>
    <col min="14" max="14" width="10.7109375" bestFit="1" customWidth="1"/>
    <col min="15" max="15" width="43.85546875" bestFit="1" customWidth="1"/>
    <col min="16" max="16" width="18.28515625" bestFit="1" customWidth="1"/>
    <col min="17" max="17" width="8.7109375" bestFit="1" customWidth="1"/>
    <col min="18" max="18" width="12.85546875" bestFit="1" customWidth="1"/>
    <col min="19" max="19" width="14.42578125" bestFit="1" customWidth="1"/>
  </cols>
  <sheetData>
    <row r="1" spans="1:24" ht="15" customHeight="1" x14ac:dyDescent="0.65">
      <c r="A1" s="31" t="s">
        <v>74</v>
      </c>
      <c r="B1" s="31"/>
      <c r="C1" s="31"/>
      <c r="D1" s="31"/>
      <c r="E1" s="31"/>
      <c r="F1" s="31"/>
      <c r="G1" s="31"/>
      <c r="H1" s="31"/>
      <c r="I1" s="31"/>
      <c r="J1" s="31"/>
      <c r="K1" s="31"/>
      <c r="L1" s="31"/>
      <c r="M1" s="31"/>
      <c r="N1" s="31"/>
      <c r="O1" s="31"/>
      <c r="P1" s="31"/>
      <c r="Q1" s="31"/>
      <c r="R1" s="2"/>
      <c r="S1" s="2"/>
      <c r="T1" s="2"/>
    </row>
    <row r="2" spans="1:24" ht="15" customHeight="1" x14ac:dyDescent="0.65">
      <c r="A2" s="31"/>
      <c r="B2" s="31"/>
      <c r="C2" s="31"/>
      <c r="D2" s="31"/>
      <c r="E2" s="31"/>
      <c r="F2" s="31"/>
      <c r="G2" s="31"/>
      <c r="H2" s="31"/>
      <c r="I2" s="31"/>
      <c r="J2" s="31"/>
      <c r="K2" s="31"/>
      <c r="L2" s="31"/>
      <c r="M2" s="31"/>
      <c r="N2" s="31"/>
      <c r="O2" s="31"/>
      <c r="P2" s="31"/>
      <c r="Q2" s="31"/>
      <c r="R2" s="2"/>
      <c r="S2" s="2"/>
      <c r="T2" s="2"/>
    </row>
    <row r="3" spans="1:24" ht="15" customHeight="1" x14ac:dyDescent="0.65">
      <c r="A3" s="31"/>
      <c r="B3" s="31"/>
      <c r="C3" s="31"/>
      <c r="D3" s="31"/>
      <c r="E3" s="31"/>
      <c r="F3" s="31"/>
      <c r="G3" s="31"/>
      <c r="H3" s="31"/>
      <c r="I3" s="31"/>
      <c r="J3" s="31"/>
      <c r="K3" s="31"/>
      <c r="L3" s="31"/>
      <c r="M3" s="31"/>
      <c r="N3" s="31"/>
      <c r="O3" s="31"/>
      <c r="P3" s="31"/>
      <c r="Q3" s="31"/>
      <c r="R3" s="2"/>
      <c r="S3" s="2"/>
      <c r="T3" s="2"/>
    </row>
    <row r="4" spans="1:24" ht="15" customHeight="1" x14ac:dyDescent="0.25"/>
    <row r="6" spans="1:24" ht="27.75" customHeight="1" x14ac:dyDescent="0.4">
      <c r="A6" s="36" t="s">
        <v>11</v>
      </c>
      <c r="B6" s="37"/>
      <c r="C6" s="37"/>
      <c r="D6" s="38"/>
      <c r="E6" s="25"/>
      <c r="F6" s="26"/>
      <c r="G6" s="36" t="s">
        <v>61</v>
      </c>
      <c r="H6" s="37"/>
      <c r="I6" s="37"/>
      <c r="J6" s="37"/>
      <c r="K6" s="38"/>
      <c r="L6" s="26"/>
      <c r="M6" s="26"/>
      <c r="N6" s="36" t="s">
        <v>58</v>
      </c>
      <c r="O6" s="37"/>
      <c r="P6" s="37"/>
      <c r="Q6" s="38"/>
      <c r="R6" s="4"/>
      <c r="S6" s="4"/>
      <c r="T6" s="3"/>
      <c r="U6" s="3"/>
      <c r="V6" s="3"/>
      <c r="W6" s="3"/>
      <c r="X6" s="3"/>
    </row>
    <row r="7" spans="1:24" ht="15" hidden="1" customHeight="1" x14ac:dyDescent="0.4">
      <c r="A7" s="39"/>
      <c r="B7" s="40"/>
      <c r="C7" s="40"/>
      <c r="D7" s="41"/>
      <c r="E7" s="25"/>
      <c r="F7" s="26"/>
      <c r="G7" s="39"/>
      <c r="H7" s="40"/>
      <c r="I7" s="40"/>
      <c r="J7" s="40"/>
      <c r="K7" s="41"/>
      <c r="L7" s="26"/>
      <c r="M7" s="26"/>
      <c r="N7" s="39"/>
      <c r="O7" s="40"/>
      <c r="P7" s="40"/>
      <c r="Q7" s="41"/>
      <c r="R7" s="4"/>
      <c r="S7" s="4"/>
      <c r="T7" s="3"/>
      <c r="U7" s="3"/>
      <c r="V7" s="3"/>
      <c r="W7" s="3"/>
      <c r="X7" s="3"/>
    </row>
    <row r="8" spans="1:24" x14ac:dyDescent="0.25">
      <c r="A8" s="24"/>
      <c r="B8" s="24"/>
      <c r="C8" s="24"/>
      <c r="D8" s="24"/>
    </row>
    <row r="9" spans="1:24" x14ac:dyDescent="0.25">
      <c r="A9" t="s">
        <v>12</v>
      </c>
      <c r="B9" t="s">
        <v>13</v>
      </c>
      <c r="C9" t="s">
        <v>14</v>
      </c>
      <c r="D9" t="s">
        <v>15</v>
      </c>
      <c r="G9" t="s">
        <v>13</v>
      </c>
      <c r="H9" t="s">
        <v>14</v>
      </c>
      <c r="I9" s="24" t="s">
        <v>15</v>
      </c>
      <c r="J9" s="24" t="s">
        <v>46</v>
      </c>
      <c r="K9" s="24" t="s">
        <v>45</v>
      </c>
      <c r="N9" t="s">
        <v>12</v>
      </c>
      <c r="O9" t="s">
        <v>13</v>
      </c>
      <c r="P9" t="s">
        <v>14</v>
      </c>
      <c r="Q9" t="s">
        <v>15</v>
      </c>
    </row>
    <row r="10" spans="1:24" x14ac:dyDescent="0.25">
      <c r="A10" t="s">
        <v>16</v>
      </c>
      <c r="B10" t="s">
        <v>17</v>
      </c>
      <c r="C10" t="s">
        <v>18</v>
      </c>
      <c r="D10">
        <v>615935</v>
      </c>
      <c r="G10" t="s">
        <v>38</v>
      </c>
      <c r="H10" t="s">
        <v>18</v>
      </c>
      <c r="I10">
        <v>100769</v>
      </c>
      <c r="J10">
        <f>SUMIFS(Count_filt,Crime_Category_filt,crime_incidents_za[[#This Row],[Crime Category]],Financial_Year_filt,crime_incidents_za[[#This Row],[Financial Year]])</f>
        <v>100769</v>
      </c>
      <c r="K10">
        <f>ABS(crime_incidents_za[[#This Row],[SumCount]]-crime_incidents_za[[#This Row],[Count]])</f>
        <v>0</v>
      </c>
      <c r="N10" t="s">
        <v>28</v>
      </c>
      <c r="O10" t="s">
        <v>38</v>
      </c>
      <c r="P10" t="s">
        <v>18</v>
      </c>
      <c r="Q10">
        <v>12476</v>
      </c>
    </row>
    <row r="11" spans="1:24" x14ac:dyDescent="0.25">
      <c r="A11" t="s">
        <v>16</v>
      </c>
      <c r="B11" t="s">
        <v>17</v>
      </c>
      <c r="C11" t="s">
        <v>19</v>
      </c>
      <c r="D11">
        <v>608724</v>
      </c>
      <c r="G11" t="s">
        <v>38</v>
      </c>
      <c r="H11" t="s">
        <v>19</v>
      </c>
      <c r="I11">
        <v>105488</v>
      </c>
      <c r="J11">
        <f>SUMIFS(Count_filt,Crime_Category_filt,crime_incidents_za[[#This Row],[Crime Category]],Financial_Year_filt,crime_incidents_za[[#This Row],[Financial Year]])</f>
        <v>105488</v>
      </c>
      <c r="K11">
        <f>ABS(crime_incidents_za[[#This Row],[SumCount]]-crime_incidents_za[[#This Row],[Count]])</f>
        <v>0</v>
      </c>
      <c r="N11" t="s">
        <v>28</v>
      </c>
      <c r="O11" t="s">
        <v>38</v>
      </c>
      <c r="P11" t="s">
        <v>19</v>
      </c>
      <c r="Q11">
        <v>11751</v>
      </c>
    </row>
    <row r="12" spans="1:24" x14ac:dyDescent="0.25">
      <c r="A12" t="s">
        <v>16</v>
      </c>
      <c r="B12" t="s">
        <v>17</v>
      </c>
      <c r="C12" t="s">
        <v>20</v>
      </c>
      <c r="D12">
        <v>611574</v>
      </c>
      <c r="G12" t="s">
        <v>38</v>
      </c>
      <c r="H12" t="s">
        <v>20</v>
      </c>
      <c r="I12">
        <v>118963</v>
      </c>
      <c r="J12">
        <f>SUMIFS(Count_filt,Crime_Category_filt,crime_incidents_za[[#This Row],[Crime Category]],Financial_Year_filt,crime_incidents_za[[#This Row],[Financial Year]])</f>
        <v>118963</v>
      </c>
      <c r="K12">
        <f>ABS(crime_incidents_za[[#This Row],[SumCount]]-crime_incidents_za[[#This Row],[Count]])</f>
        <v>0</v>
      </c>
      <c r="N12" t="s">
        <v>28</v>
      </c>
      <c r="O12" t="s">
        <v>38</v>
      </c>
      <c r="P12" t="s">
        <v>20</v>
      </c>
      <c r="Q12">
        <v>13443</v>
      </c>
    </row>
    <row r="13" spans="1:24" x14ac:dyDescent="0.25">
      <c r="A13" t="s">
        <v>16</v>
      </c>
      <c r="B13" t="s">
        <v>17</v>
      </c>
      <c r="C13" t="s">
        <v>21</v>
      </c>
      <c r="D13">
        <v>616973</v>
      </c>
      <c r="G13" t="s">
        <v>38</v>
      </c>
      <c r="H13" t="s">
        <v>21</v>
      </c>
      <c r="I13">
        <v>129045</v>
      </c>
      <c r="J13">
        <f>SUMIFS(Count_filt,Crime_Category_filt,crime_incidents_za[[#This Row],[Crime Category]],Financial_Year_filt,crime_incidents_za[[#This Row],[Financial Year]])</f>
        <v>129045</v>
      </c>
      <c r="K13">
        <f>ABS(crime_incidents_za[[#This Row],[SumCount]]-crime_incidents_za[[#This Row],[Count]])</f>
        <v>0</v>
      </c>
      <c r="N13" t="s">
        <v>28</v>
      </c>
      <c r="O13" t="s">
        <v>38</v>
      </c>
      <c r="P13" t="s">
        <v>21</v>
      </c>
      <c r="Q13">
        <v>13245</v>
      </c>
    </row>
    <row r="14" spans="1:24" x14ac:dyDescent="0.25">
      <c r="A14" t="s">
        <v>16</v>
      </c>
      <c r="B14" t="s">
        <v>17</v>
      </c>
      <c r="C14" t="s">
        <v>22</v>
      </c>
      <c r="D14">
        <v>623223</v>
      </c>
      <c r="G14" t="s">
        <v>38</v>
      </c>
      <c r="H14" t="s">
        <v>22</v>
      </c>
      <c r="I14">
        <v>132527</v>
      </c>
      <c r="J14">
        <f>SUMIFS(Count_filt,Crime_Category_filt,crime_incidents_za[[#This Row],[Crime Category]],Financial_Year_filt,crime_incidents_za[[#This Row],[Financial Year]])</f>
        <v>132527</v>
      </c>
      <c r="K14">
        <f>ABS(crime_incidents_za[[#This Row],[SumCount]]-crime_incidents_za[[#This Row],[Count]])</f>
        <v>0</v>
      </c>
      <c r="N14" t="s">
        <v>28</v>
      </c>
      <c r="O14" t="s">
        <v>38</v>
      </c>
      <c r="P14" t="s">
        <v>22</v>
      </c>
      <c r="Q14">
        <v>12777</v>
      </c>
    </row>
    <row r="15" spans="1:24" x14ac:dyDescent="0.25">
      <c r="A15" t="s">
        <v>16</v>
      </c>
      <c r="B15" t="s">
        <v>17</v>
      </c>
      <c r="C15" t="s">
        <v>23</v>
      </c>
      <c r="D15">
        <v>608321</v>
      </c>
      <c r="G15" t="s">
        <v>38</v>
      </c>
      <c r="H15" t="s">
        <v>23</v>
      </c>
      <c r="I15">
        <v>140956</v>
      </c>
      <c r="J15">
        <f>SUMIFS(Count_filt,Crime_Category_filt,crime_incidents_za[[#This Row],[Crime Category]],Financial_Year_filt,crime_incidents_za[[#This Row],[Financial Year]])</f>
        <v>140956</v>
      </c>
      <c r="K15">
        <f>ABS(crime_incidents_za[[#This Row],[SumCount]]-crime_incidents_za[[#This Row],[Count]])</f>
        <v>0</v>
      </c>
      <c r="N15" t="s">
        <v>28</v>
      </c>
      <c r="O15" t="s">
        <v>38</v>
      </c>
      <c r="P15" t="s">
        <v>23</v>
      </c>
      <c r="Q15">
        <v>13688</v>
      </c>
    </row>
    <row r="16" spans="1:24" x14ac:dyDescent="0.25">
      <c r="A16" t="s">
        <v>16</v>
      </c>
      <c r="B16" t="s">
        <v>17</v>
      </c>
      <c r="C16" t="s">
        <v>24</v>
      </c>
      <c r="D16">
        <v>601366</v>
      </c>
      <c r="G16" t="s">
        <v>38</v>
      </c>
      <c r="H16" t="s">
        <v>24</v>
      </c>
      <c r="I16">
        <v>138364</v>
      </c>
      <c r="J16">
        <f>SUMIFS(Count_filt,Crime_Category_filt,crime_incidents_za[[#This Row],[Crime Category]],Financial_Year_filt,crime_incidents_za[[#This Row],[Financial Year]])</f>
        <v>138364</v>
      </c>
      <c r="K16">
        <f>ABS(crime_incidents_za[[#This Row],[SumCount]]-crime_incidents_za[[#This Row],[Count]])</f>
        <v>0</v>
      </c>
      <c r="N16" t="s">
        <v>28</v>
      </c>
      <c r="O16" t="s">
        <v>38</v>
      </c>
      <c r="P16" t="s">
        <v>24</v>
      </c>
      <c r="Q16">
        <v>13485</v>
      </c>
    </row>
    <row r="17" spans="1:17" x14ac:dyDescent="0.25">
      <c r="A17" t="s">
        <v>16</v>
      </c>
      <c r="B17" t="s">
        <v>17</v>
      </c>
      <c r="C17" t="s">
        <v>25</v>
      </c>
      <c r="D17">
        <v>617210</v>
      </c>
      <c r="G17" t="s">
        <v>38</v>
      </c>
      <c r="H17" t="s">
        <v>25</v>
      </c>
      <c r="I17">
        <v>140032</v>
      </c>
      <c r="J17">
        <f>SUMIFS(Count_filt,Crime_Category_filt,crime_incidents_za[[#This Row],[Crime Category]],Financial_Year_filt,crime_incidents_za[[#This Row],[Financial Year]])</f>
        <v>140032</v>
      </c>
      <c r="K17">
        <f>ABS(crime_incidents_za[[#This Row],[SumCount]]-crime_incidents_za[[#This Row],[Count]])</f>
        <v>0</v>
      </c>
      <c r="N17" t="s">
        <v>28</v>
      </c>
      <c r="O17" t="s">
        <v>38</v>
      </c>
      <c r="P17" t="s">
        <v>25</v>
      </c>
      <c r="Q17">
        <v>13578</v>
      </c>
    </row>
    <row r="18" spans="1:17" x14ac:dyDescent="0.25">
      <c r="A18" t="s">
        <v>16</v>
      </c>
      <c r="B18" t="s">
        <v>17</v>
      </c>
      <c r="C18" t="s">
        <v>26</v>
      </c>
      <c r="D18">
        <v>621282</v>
      </c>
      <c r="G18" t="s">
        <v>38</v>
      </c>
      <c r="H18" t="s">
        <v>26</v>
      </c>
      <c r="I18">
        <v>143990</v>
      </c>
      <c r="J18">
        <f>SUMIFS(Count_filt,Crime_Category_filt,crime_incidents_za[[#This Row],[Crime Category]],Financial_Year_filt,crime_incidents_za[[#This Row],[Financial Year]])</f>
        <v>143990</v>
      </c>
      <c r="K18">
        <f>ABS(crime_incidents_za[[#This Row],[SumCount]]-crime_incidents_za[[#This Row],[Count]])</f>
        <v>0</v>
      </c>
      <c r="N18" t="s">
        <v>28</v>
      </c>
      <c r="O18" t="s">
        <v>38</v>
      </c>
      <c r="P18" t="s">
        <v>26</v>
      </c>
      <c r="Q18">
        <v>13983</v>
      </c>
    </row>
    <row r="19" spans="1:17" x14ac:dyDescent="0.25">
      <c r="A19" t="s">
        <v>16</v>
      </c>
      <c r="B19" t="s">
        <v>17</v>
      </c>
      <c r="C19" t="s">
        <v>27</v>
      </c>
      <c r="D19">
        <v>535217</v>
      </c>
      <c r="G19" t="s">
        <v>38</v>
      </c>
      <c r="H19" t="s">
        <v>27</v>
      </c>
      <c r="I19">
        <v>119841</v>
      </c>
      <c r="J19">
        <f>SUMIFS(Count_filt,Crime_Category_filt,crime_incidents_za[[#This Row],[Crime Category]],Financial_Year_filt,crime_incidents_za[[#This Row],[Financial Year]])</f>
        <v>119841</v>
      </c>
      <c r="K19">
        <f>ABS(crime_incidents_za[[#This Row],[SumCount]]-crime_incidents_za[[#This Row],[Count]])</f>
        <v>0</v>
      </c>
      <c r="N19" t="s">
        <v>28</v>
      </c>
      <c r="O19" t="s">
        <v>38</v>
      </c>
      <c r="P19" t="s">
        <v>27</v>
      </c>
      <c r="Q19">
        <v>11458</v>
      </c>
    </row>
    <row r="20" spans="1:17" x14ac:dyDescent="0.25">
      <c r="A20" t="s">
        <v>28</v>
      </c>
      <c r="B20" t="s">
        <v>17</v>
      </c>
      <c r="C20" t="s">
        <v>18</v>
      </c>
      <c r="D20">
        <v>75779</v>
      </c>
      <c r="G20" t="s">
        <v>38</v>
      </c>
      <c r="H20" t="s">
        <v>43</v>
      </c>
      <c r="I20">
        <v>64759</v>
      </c>
      <c r="J20">
        <f>SUMIFS(Count_filt,Crime_Category_filt,crime_incidents_za[[#This Row],[Crime Category]],Financial_Year_filt,crime_incidents_za[[#This Row],[Financial Year]])</f>
        <v>64759</v>
      </c>
      <c r="K20">
        <f>ABS(crime_incidents_za[[#This Row],[SumCount]]-crime_incidents_za[[#This Row],[Count]])</f>
        <v>0</v>
      </c>
      <c r="N20" t="s">
        <v>28</v>
      </c>
      <c r="O20" t="s">
        <v>38</v>
      </c>
      <c r="P20" t="s">
        <v>43</v>
      </c>
      <c r="Q20">
        <v>5723</v>
      </c>
    </row>
    <row r="21" spans="1:17" x14ac:dyDescent="0.25">
      <c r="A21" t="s">
        <v>28</v>
      </c>
      <c r="B21" t="s">
        <v>17</v>
      </c>
      <c r="C21" t="s">
        <v>19</v>
      </c>
      <c r="D21">
        <v>72650</v>
      </c>
      <c r="G21" t="s">
        <v>38</v>
      </c>
      <c r="H21" t="s">
        <v>44</v>
      </c>
      <c r="I21">
        <v>68015</v>
      </c>
      <c r="J21">
        <f>SUMIFS(Count_filt,Crime_Category_filt,crime_incidents_za[[#This Row],[Crime Category]],Financial_Year_filt,crime_incidents_za[[#This Row],[Financial Year]])</f>
        <v>68015</v>
      </c>
      <c r="K21">
        <f>ABS(crime_incidents_za[[#This Row],[SumCount]]-crime_incidents_za[[#This Row],[Count]])</f>
        <v>0</v>
      </c>
      <c r="N21" t="s">
        <v>28</v>
      </c>
      <c r="O21" t="s">
        <v>38</v>
      </c>
      <c r="P21" t="s">
        <v>44</v>
      </c>
      <c r="Q21">
        <v>6433</v>
      </c>
    </row>
    <row r="22" spans="1:17" x14ac:dyDescent="0.25">
      <c r="A22" t="s">
        <v>28</v>
      </c>
      <c r="B22" t="s">
        <v>17</v>
      </c>
      <c r="C22" t="s">
        <v>20</v>
      </c>
      <c r="D22">
        <v>73032</v>
      </c>
      <c r="G22" t="s">
        <v>17</v>
      </c>
      <c r="H22" t="s">
        <v>18</v>
      </c>
      <c r="I22">
        <v>615935</v>
      </c>
      <c r="J22">
        <f>SUMIFS(Count_filt,Crime_Category_filt,crime_incidents_za[[#This Row],[Crime Category]],Financial_Year_filt,crime_incidents_za[[#This Row],[Financial Year]])</f>
        <v>615935</v>
      </c>
      <c r="K22">
        <f>ABS(crime_incidents_za[[#This Row],[SumCount]]-crime_incidents_za[[#This Row],[Count]])</f>
        <v>0</v>
      </c>
      <c r="N22" t="s">
        <v>28</v>
      </c>
      <c r="O22" t="s">
        <v>17</v>
      </c>
      <c r="P22" t="s">
        <v>18</v>
      </c>
      <c r="Q22">
        <v>75779</v>
      </c>
    </row>
    <row r="23" spans="1:17" x14ac:dyDescent="0.25">
      <c r="A23" t="s">
        <v>28</v>
      </c>
      <c r="B23" t="s">
        <v>17</v>
      </c>
      <c r="C23" t="s">
        <v>21</v>
      </c>
      <c r="D23">
        <v>68654</v>
      </c>
      <c r="G23" t="s">
        <v>17</v>
      </c>
      <c r="H23" t="s">
        <v>19</v>
      </c>
      <c r="I23">
        <v>608724</v>
      </c>
      <c r="J23">
        <f>SUMIFS(Count_filt,Crime_Category_filt,crime_incidents_za[[#This Row],[Crime Category]],Financial_Year_filt,crime_incidents_za[[#This Row],[Financial Year]])</f>
        <v>608724</v>
      </c>
      <c r="K23">
        <f>ABS(crime_incidents_za[[#This Row],[SumCount]]-crime_incidents_za[[#This Row],[Count]])</f>
        <v>0</v>
      </c>
      <c r="N23" t="s">
        <v>28</v>
      </c>
      <c r="O23" t="s">
        <v>17</v>
      </c>
      <c r="P23" t="s">
        <v>19</v>
      </c>
      <c r="Q23">
        <v>72650</v>
      </c>
    </row>
    <row r="24" spans="1:17" x14ac:dyDescent="0.25">
      <c r="A24" t="s">
        <v>28</v>
      </c>
      <c r="B24" t="s">
        <v>17</v>
      </c>
      <c r="C24" t="s">
        <v>22</v>
      </c>
      <c r="D24">
        <v>67258</v>
      </c>
      <c r="G24" t="s">
        <v>17</v>
      </c>
      <c r="H24" t="s">
        <v>20</v>
      </c>
      <c r="I24">
        <v>611574</v>
      </c>
      <c r="J24">
        <f>SUMIFS(Count_filt,Crime_Category_filt,crime_incidents_za[[#This Row],[Crime Category]],Financial_Year_filt,crime_incidents_za[[#This Row],[Financial Year]])</f>
        <v>611574</v>
      </c>
      <c r="K24">
        <f>ABS(crime_incidents_za[[#This Row],[SumCount]]-crime_incidents_za[[#This Row],[Count]])</f>
        <v>0</v>
      </c>
      <c r="N24" t="s">
        <v>28</v>
      </c>
      <c r="O24" t="s">
        <v>17</v>
      </c>
      <c r="P24" t="s">
        <v>20</v>
      </c>
      <c r="Q24">
        <v>73032</v>
      </c>
    </row>
    <row r="25" spans="1:17" x14ac:dyDescent="0.25">
      <c r="A25" t="s">
        <v>28</v>
      </c>
      <c r="B25" t="s">
        <v>17</v>
      </c>
      <c r="C25" t="s">
        <v>23</v>
      </c>
      <c r="D25">
        <v>65524</v>
      </c>
      <c r="G25" t="s">
        <v>17</v>
      </c>
      <c r="H25" t="s">
        <v>21</v>
      </c>
      <c r="I25">
        <v>616973</v>
      </c>
      <c r="J25">
        <f>SUMIFS(Count_filt,Crime_Category_filt,crime_incidents_za[[#This Row],[Crime Category]],Financial_Year_filt,crime_incidents_za[[#This Row],[Financial Year]])</f>
        <v>616973</v>
      </c>
      <c r="K25">
        <f>ABS(crime_incidents_za[[#This Row],[SumCount]]-crime_incidents_za[[#This Row],[Count]])</f>
        <v>0</v>
      </c>
      <c r="N25" t="s">
        <v>28</v>
      </c>
      <c r="O25" t="s">
        <v>17</v>
      </c>
      <c r="P25" t="s">
        <v>21</v>
      </c>
      <c r="Q25">
        <v>68654</v>
      </c>
    </row>
    <row r="26" spans="1:17" x14ac:dyDescent="0.25">
      <c r="A26" t="s">
        <v>28</v>
      </c>
      <c r="B26" t="s">
        <v>17</v>
      </c>
      <c r="C26" t="s">
        <v>24</v>
      </c>
      <c r="D26">
        <v>65393</v>
      </c>
      <c r="G26" t="s">
        <v>17</v>
      </c>
      <c r="H26" t="s">
        <v>22</v>
      </c>
      <c r="I26">
        <v>623223</v>
      </c>
      <c r="J26">
        <f>SUMIFS(Count_filt,Crime_Category_filt,crime_incidents_za[[#This Row],[Crime Category]],Financial_Year_filt,crime_incidents_za[[#This Row],[Financial Year]])</f>
        <v>623223</v>
      </c>
      <c r="K26">
        <f>ABS(crime_incidents_za[[#This Row],[SumCount]]-crime_incidents_za[[#This Row],[Count]])</f>
        <v>0</v>
      </c>
      <c r="N26" t="s">
        <v>28</v>
      </c>
      <c r="O26" t="s">
        <v>17</v>
      </c>
      <c r="P26" t="s">
        <v>22</v>
      </c>
      <c r="Q26">
        <v>67258</v>
      </c>
    </row>
    <row r="27" spans="1:17" x14ac:dyDescent="0.25">
      <c r="A27" t="s">
        <v>28</v>
      </c>
      <c r="B27" t="s">
        <v>17</v>
      </c>
      <c r="C27" t="s">
        <v>25</v>
      </c>
      <c r="D27">
        <v>68416</v>
      </c>
      <c r="G27" t="s">
        <v>17</v>
      </c>
      <c r="H27" t="s">
        <v>23</v>
      </c>
      <c r="I27">
        <v>608321</v>
      </c>
      <c r="J27">
        <f>SUMIFS(Count_filt,Crime_Category_filt,crime_incidents_za[[#This Row],[Crime Category]],Financial_Year_filt,crime_incidents_za[[#This Row],[Financial Year]])</f>
        <v>608321</v>
      </c>
      <c r="K27">
        <f>ABS(crime_incidents_za[[#This Row],[SumCount]]-crime_incidents_za[[#This Row],[Count]])</f>
        <v>0</v>
      </c>
      <c r="N27" t="s">
        <v>28</v>
      </c>
      <c r="O27" t="s">
        <v>17</v>
      </c>
      <c r="P27" t="s">
        <v>23</v>
      </c>
      <c r="Q27">
        <v>65524</v>
      </c>
    </row>
    <row r="28" spans="1:17" x14ac:dyDescent="0.25">
      <c r="A28" t="s">
        <v>28</v>
      </c>
      <c r="B28" t="s">
        <v>17</v>
      </c>
      <c r="C28" t="s">
        <v>26</v>
      </c>
      <c r="D28">
        <v>68545</v>
      </c>
      <c r="G28" t="s">
        <v>17</v>
      </c>
      <c r="H28" t="s">
        <v>24</v>
      </c>
      <c r="I28">
        <v>601366</v>
      </c>
      <c r="J28">
        <f>SUMIFS(Count_filt,Crime_Category_filt,crime_incidents_za[[#This Row],[Crime Category]],Financial_Year_filt,crime_incidents_za[[#This Row],[Financial Year]])</f>
        <v>601366</v>
      </c>
      <c r="K28">
        <f>ABS(crime_incidents_za[[#This Row],[SumCount]]-crime_incidents_za[[#This Row],[Count]])</f>
        <v>0</v>
      </c>
      <c r="N28" t="s">
        <v>28</v>
      </c>
      <c r="O28" t="s">
        <v>17</v>
      </c>
      <c r="P28" t="s">
        <v>24</v>
      </c>
      <c r="Q28">
        <v>65393</v>
      </c>
    </row>
    <row r="29" spans="1:17" x14ac:dyDescent="0.25">
      <c r="A29" t="s">
        <v>28</v>
      </c>
      <c r="B29" t="s">
        <v>17</v>
      </c>
      <c r="C29" t="s">
        <v>27</v>
      </c>
      <c r="D29">
        <v>59093</v>
      </c>
      <c r="G29" t="s">
        <v>17</v>
      </c>
      <c r="H29" t="s">
        <v>25</v>
      </c>
      <c r="I29">
        <v>617210</v>
      </c>
      <c r="J29">
        <f>SUMIFS(Count_filt,Crime_Category_filt,crime_incidents_za[[#This Row],[Crime Category]],Financial_Year_filt,crime_incidents_za[[#This Row],[Financial Year]])</f>
        <v>617210</v>
      </c>
      <c r="K29">
        <f>ABS(crime_incidents_za[[#This Row],[SumCount]]-crime_incidents_za[[#This Row],[Count]])</f>
        <v>0</v>
      </c>
      <c r="N29" t="s">
        <v>28</v>
      </c>
      <c r="O29" t="s">
        <v>17</v>
      </c>
      <c r="P29" t="s">
        <v>25</v>
      </c>
      <c r="Q29">
        <v>68416</v>
      </c>
    </row>
    <row r="30" spans="1:17" x14ac:dyDescent="0.25">
      <c r="A30" t="s">
        <v>29</v>
      </c>
      <c r="B30" t="s">
        <v>17</v>
      </c>
      <c r="C30" t="s">
        <v>18</v>
      </c>
      <c r="D30">
        <v>47486</v>
      </c>
      <c r="G30" t="s">
        <v>17</v>
      </c>
      <c r="H30" t="s">
        <v>26</v>
      </c>
      <c r="I30">
        <v>621282</v>
      </c>
      <c r="J30">
        <f>SUMIFS(Count_filt,Crime_Category_filt,crime_incidents_za[[#This Row],[Crime Category]],Financial_Year_filt,crime_incidents_za[[#This Row],[Financial Year]])</f>
        <v>621282</v>
      </c>
      <c r="K30">
        <f>ABS(crime_incidents_za[[#This Row],[SumCount]]-crime_incidents_za[[#This Row],[Count]])</f>
        <v>0</v>
      </c>
      <c r="N30" t="s">
        <v>28</v>
      </c>
      <c r="O30" t="s">
        <v>17</v>
      </c>
      <c r="P30" t="s">
        <v>26</v>
      </c>
      <c r="Q30">
        <v>68545</v>
      </c>
    </row>
    <row r="31" spans="1:17" x14ac:dyDescent="0.25">
      <c r="A31" t="s">
        <v>29</v>
      </c>
      <c r="B31" t="s">
        <v>17</v>
      </c>
      <c r="C31" t="s">
        <v>19</v>
      </c>
      <c r="D31">
        <v>48480</v>
      </c>
      <c r="G31" t="s">
        <v>17</v>
      </c>
      <c r="H31" t="s">
        <v>27</v>
      </c>
      <c r="I31">
        <v>535217</v>
      </c>
      <c r="J31">
        <f>SUMIFS(Count_filt,Crime_Category_filt,crime_incidents_za[[#This Row],[Crime Category]],Financial_Year_filt,crime_incidents_za[[#This Row],[Financial Year]])</f>
        <v>535217</v>
      </c>
      <c r="K31">
        <f>ABS(crime_incidents_za[[#This Row],[SumCount]]-crime_incidents_za[[#This Row],[Count]])</f>
        <v>0</v>
      </c>
      <c r="N31" t="s">
        <v>28</v>
      </c>
      <c r="O31" t="s">
        <v>17</v>
      </c>
      <c r="P31" t="s">
        <v>27</v>
      </c>
      <c r="Q31">
        <v>59093</v>
      </c>
    </row>
    <row r="32" spans="1:17" x14ac:dyDescent="0.25">
      <c r="A32" t="s">
        <v>29</v>
      </c>
      <c r="B32" t="s">
        <v>17</v>
      </c>
      <c r="C32" t="s">
        <v>20</v>
      </c>
      <c r="D32">
        <v>45945</v>
      </c>
      <c r="G32" t="s">
        <v>17</v>
      </c>
      <c r="H32" t="s">
        <v>43</v>
      </c>
      <c r="I32">
        <v>607163</v>
      </c>
      <c r="J32">
        <f>SUMIFS(Count_filt,Crime_Category_filt,crime_incidents_za[[#This Row],[Crime Category]],Financial_Year_filt,crime_incidents_za[[#This Row],[Financial Year]])</f>
        <v>607163</v>
      </c>
      <c r="K32">
        <f>ABS(crime_incidents_za[[#This Row],[SumCount]]-crime_incidents_za[[#This Row],[Count]])</f>
        <v>0</v>
      </c>
      <c r="N32" t="s">
        <v>28</v>
      </c>
      <c r="O32" t="s">
        <v>17</v>
      </c>
      <c r="P32" t="s">
        <v>43</v>
      </c>
      <c r="Q32">
        <v>66581</v>
      </c>
    </row>
    <row r="33" spans="1:17" x14ac:dyDescent="0.25">
      <c r="A33" t="s">
        <v>29</v>
      </c>
      <c r="B33" t="s">
        <v>17</v>
      </c>
      <c r="C33" t="s">
        <v>21</v>
      </c>
      <c r="D33">
        <v>42314</v>
      </c>
      <c r="G33" t="s">
        <v>17</v>
      </c>
      <c r="H33" t="s">
        <v>44</v>
      </c>
      <c r="I33">
        <v>653659</v>
      </c>
      <c r="J33">
        <f>SUMIFS(Count_filt,Crime_Category_filt,crime_incidents_za[[#This Row],[Crime Category]],Financial_Year_filt,crime_incidents_za[[#This Row],[Financial Year]])</f>
        <v>653659</v>
      </c>
      <c r="K33">
        <f>ABS(crime_incidents_za[[#This Row],[SumCount]]-crime_incidents_za[[#This Row],[Count]])</f>
        <v>0</v>
      </c>
      <c r="N33" t="s">
        <v>28</v>
      </c>
      <c r="O33" t="s">
        <v>17</v>
      </c>
      <c r="P33" t="s">
        <v>44</v>
      </c>
      <c r="Q33">
        <v>71191</v>
      </c>
    </row>
    <row r="34" spans="1:17" x14ac:dyDescent="0.25">
      <c r="A34" t="s">
        <v>29</v>
      </c>
      <c r="B34" t="s">
        <v>17</v>
      </c>
      <c r="C34" t="s">
        <v>22</v>
      </c>
      <c r="D34">
        <v>41100</v>
      </c>
      <c r="G34" t="s">
        <v>39</v>
      </c>
      <c r="H34" t="s">
        <v>18</v>
      </c>
      <c r="I34">
        <v>125903</v>
      </c>
      <c r="J34">
        <f>SUMIFS(Count_filt,Crime_Category_filt,crime_incidents_za[[#This Row],[Crime Category]],Financial_Year_filt,crime_incidents_za[[#This Row],[Financial Year]])</f>
        <v>125903</v>
      </c>
      <c r="K34">
        <f>ABS(crime_incidents_za[[#This Row],[SumCount]]-crime_incidents_za[[#This Row],[Count]])</f>
        <v>0</v>
      </c>
      <c r="N34" t="s">
        <v>28</v>
      </c>
      <c r="O34" t="s">
        <v>39</v>
      </c>
      <c r="P34" t="s">
        <v>18</v>
      </c>
      <c r="Q34">
        <v>13687</v>
      </c>
    </row>
    <row r="35" spans="1:17" x14ac:dyDescent="0.25">
      <c r="A35" t="s">
        <v>29</v>
      </c>
      <c r="B35" t="s">
        <v>17</v>
      </c>
      <c r="C35" t="s">
        <v>23</v>
      </c>
      <c r="D35">
        <v>37741</v>
      </c>
      <c r="G35" t="s">
        <v>39</v>
      </c>
      <c r="H35" t="s">
        <v>19</v>
      </c>
      <c r="I35">
        <v>124691</v>
      </c>
      <c r="J35">
        <f>SUMIFS(Count_filt,Crime_Category_filt,crime_incidents_za[[#This Row],[Crime Category]],Financial_Year_filt,crime_incidents_za[[#This Row],[Financial Year]])</f>
        <v>124691</v>
      </c>
      <c r="K35">
        <f>ABS(crime_incidents_za[[#This Row],[SumCount]]-crime_incidents_za[[#This Row],[Count]])</f>
        <v>0</v>
      </c>
      <c r="N35" t="s">
        <v>28</v>
      </c>
      <c r="O35" t="s">
        <v>39</v>
      </c>
      <c r="P35" t="s">
        <v>19</v>
      </c>
      <c r="Q35">
        <v>13514</v>
      </c>
    </row>
    <row r="36" spans="1:17" x14ac:dyDescent="0.25">
      <c r="A36" t="s">
        <v>29</v>
      </c>
      <c r="B36" t="s">
        <v>17</v>
      </c>
      <c r="C36" t="s">
        <v>24</v>
      </c>
      <c r="D36">
        <v>35725</v>
      </c>
      <c r="G36" t="s">
        <v>39</v>
      </c>
      <c r="H36" t="s">
        <v>20</v>
      </c>
      <c r="I36">
        <v>123441</v>
      </c>
      <c r="J36">
        <f>SUMIFS(Count_filt,Crime_Category_filt,crime_incidents_za[[#This Row],[Crime Category]],Financial_Year_filt,crime_incidents_za[[#This Row],[Financial Year]])</f>
        <v>123441</v>
      </c>
      <c r="K36">
        <f>ABS(crime_incidents_za[[#This Row],[SumCount]]-crime_incidents_za[[#This Row],[Count]])</f>
        <v>0</v>
      </c>
      <c r="N36" t="s">
        <v>28</v>
      </c>
      <c r="O36" t="s">
        <v>39</v>
      </c>
      <c r="P36" t="s">
        <v>20</v>
      </c>
      <c r="Q36">
        <v>13735</v>
      </c>
    </row>
    <row r="37" spans="1:17" x14ac:dyDescent="0.25">
      <c r="A37" t="s">
        <v>29</v>
      </c>
      <c r="B37" t="s">
        <v>17</v>
      </c>
      <c r="C37" t="s">
        <v>25</v>
      </c>
      <c r="D37">
        <v>36879</v>
      </c>
      <c r="G37" t="s">
        <v>39</v>
      </c>
      <c r="H37" t="s">
        <v>21</v>
      </c>
      <c r="I37">
        <v>125789</v>
      </c>
      <c r="J37">
        <f>SUMIFS(Count_filt,Crime_Category_filt,crime_incidents_za[[#This Row],[Crime Category]],Financial_Year_filt,crime_incidents_za[[#This Row],[Financial Year]])</f>
        <v>125789</v>
      </c>
      <c r="K37">
        <f>ABS(crime_incidents_za[[#This Row],[SumCount]]-crime_incidents_za[[#This Row],[Count]])</f>
        <v>0</v>
      </c>
      <c r="N37" t="s">
        <v>28</v>
      </c>
      <c r="O37" t="s">
        <v>39</v>
      </c>
      <c r="P37" t="s">
        <v>21</v>
      </c>
      <c r="Q37">
        <v>13184</v>
      </c>
    </row>
    <row r="38" spans="1:17" x14ac:dyDescent="0.25">
      <c r="A38" t="s">
        <v>29</v>
      </c>
      <c r="B38" t="s">
        <v>17</v>
      </c>
      <c r="C38" t="s">
        <v>26</v>
      </c>
      <c r="D38">
        <v>36059</v>
      </c>
      <c r="G38" t="s">
        <v>39</v>
      </c>
      <c r="H38" t="s">
        <v>22</v>
      </c>
      <c r="I38">
        <v>124804</v>
      </c>
      <c r="J38">
        <f>SUMIFS(Count_filt,Crime_Category_filt,crime_incidents_za[[#This Row],[Crime Category]],Financial_Year_filt,crime_incidents_za[[#This Row],[Financial Year]])</f>
        <v>124804</v>
      </c>
      <c r="K38">
        <f>ABS(crime_incidents_za[[#This Row],[SumCount]]-crime_incidents_za[[#This Row],[Count]])</f>
        <v>0</v>
      </c>
      <c r="N38" t="s">
        <v>28</v>
      </c>
      <c r="O38" t="s">
        <v>39</v>
      </c>
      <c r="P38" t="s">
        <v>22</v>
      </c>
      <c r="Q38">
        <v>12498</v>
      </c>
    </row>
    <row r="39" spans="1:17" x14ac:dyDescent="0.25">
      <c r="A39" t="s">
        <v>29</v>
      </c>
      <c r="B39" t="s">
        <v>17</v>
      </c>
      <c r="C39" t="s">
        <v>27</v>
      </c>
      <c r="D39">
        <v>31668</v>
      </c>
      <c r="G39" t="s">
        <v>39</v>
      </c>
      <c r="H39" t="s">
        <v>23</v>
      </c>
      <c r="I39">
        <v>120730</v>
      </c>
      <c r="J39">
        <f>SUMIFS(Count_filt,Crime_Category_filt,crime_incidents_za[[#This Row],[Crime Category]],Financial_Year_filt,crime_incidents_za[[#This Row],[Financial Year]])</f>
        <v>120730</v>
      </c>
      <c r="K39">
        <f>ABS(crime_incidents_za[[#This Row],[SumCount]]-crime_incidents_za[[#This Row],[Count]])</f>
        <v>0</v>
      </c>
      <c r="N39" t="s">
        <v>28</v>
      </c>
      <c r="O39" t="s">
        <v>39</v>
      </c>
      <c r="P39" t="s">
        <v>23</v>
      </c>
      <c r="Q39">
        <v>12810</v>
      </c>
    </row>
    <row r="40" spans="1:17" x14ac:dyDescent="0.25">
      <c r="A40" t="s">
        <v>30</v>
      </c>
      <c r="B40" t="s">
        <v>17</v>
      </c>
      <c r="C40" t="s">
        <v>18</v>
      </c>
      <c r="D40">
        <v>160289</v>
      </c>
      <c r="G40" t="s">
        <v>39</v>
      </c>
      <c r="H40" t="s">
        <v>24</v>
      </c>
      <c r="I40">
        <v>115361</v>
      </c>
      <c r="J40">
        <f>SUMIFS(Count_filt,Crime_Category_filt,crime_incidents_za[[#This Row],[Crime Category]],Financial_Year_filt,crime_incidents_za[[#This Row],[Financial Year]])</f>
        <v>115361</v>
      </c>
      <c r="K40">
        <f>ABS(crime_incidents_za[[#This Row],[SumCount]]-crime_incidents_za[[#This Row],[Count]])</f>
        <v>0</v>
      </c>
      <c r="N40" t="s">
        <v>28</v>
      </c>
      <c r="O40" t="s">
        <v>39</v>
      </c>
      <c r="P40" t="s">
        <v>24</v>
      </c>
      <c r="Q40">
        <v>12027</v>
      </c>
    </row>
    <row r="41" spans="1:17" x14ac:dyDescent="0.25">
      <c r="A41" t="s">
        <v>30</v>
      </c>
      <c r="B41" t="s">
        <v>17</v>
      </c>
      <c r="C41" t="s">
        <v>19</v>
      </c>
      <c r="D41">
        <v>153610</v>
      </c>
      <c r="G41" t="s">
        <v>39</v>
      </c>
      <c r="H41" t="s">
        <v>25</v>
      </c>
      <c r="I41">
        <v>117172</v>
      </c>
      <c r="J41">
        <f>SUMIFS(Count_filt,Crime_Category_filt,crime_incidents_za[[#This Row],[Crime Category]],Financial_Year_filt,crime_incidents_za[[#This Row],[Financial Year]])</f>
        <v>117172</v>
      </c>
      <c r="K41">
        <f>ABS(crime_incidents_za[[#This Row],[SumCount]]-crime_incidents_za[[#This Row],[Count]])</f>
        <v>0</v>
      </c>
      <c r="N41" t="s">
        <v>28</v>
      </c>
      <c r="O41" t="s">
        <v>39</v>
      </c>
      <c r="P41" t="s">
        <v>25</v>
      </c>
      <c r="Q41">
        <v>12738</v>
      </c>
    </row>
    <row r="42" spans="1:17" x14ac:dyDescent="0.25">
      <c r="A42" t="s">
        <v>30</v>
      </c>
      <c r="B42" t="s">
        <v>17</v>
      </c>
      <c r="C42" t="s">
        <v>20</v>
      </c>
      <c r="D42">
        <v>160881</v>
      </c>
      <c r="G42" t="s">
        <v>39</v>
      </c>
      <c r="H42" t="s">
        <v>26</v>
      </c>
      <c r="I42">
        <v>112244</v>
      </c>
      <c r="J42">
        <f>SUMIFS(Count_filt,Crime_Category_filt,crime_incidents_za[[#This Row],[Crime Category]],Financial_Year_filt,crime_incidents_za[[#This Row],[Financial Year]])</f>
        <v>112244</v>
      </c>
      <c r="K42">
        <f>ABS(crime_incidents_za[[#This Row],[SumCount]]-crime_incidents_za[[#This Row],[Count]])</f>
        <v>0</v>
      </c>
      <c r="N42" t="s">
        <v>28</v>
      </c>
      <c r="O42" t="s">
        <v>39</v>
      </c>
      <c r="P42" t="s">
        <v>26</v>
      </c>
      <c r="Q42">
        <v>12721</v>
      </c>
    </row>
    <row r="43" spans="1:17" x14ac:dyDescent="0.25">
      <c r="A43" t="s">
        <v>30</v>
      </c>
      <c r="B43" t="s">
        <v>17</v>
      </c>
      <c r="C43" t="s">
        <v>21</v>
      </c>
      <c r="D43">
        <v>167264</v>
      </c>
      <c r="G43" t="s">
        <v>39</v>
      </c>
      <c r="H43" t="s">
        <v>27</v>
      </c>
      <c r="I43">
        <v>102269</v>
      </c>
      <c r="J43">
        <f>SUMIFS(Count_filt,Crime_Category_filt,crime_incidents_za[[#This Row],[Crime Category]],Financial_Year_filt,crime_incidents_za[[#This Row],[Financial Year]])</f>
        <v>102269</v>
      </c>
      <c r="K43">
        <f>ABS(crime_incidents_za[[#This Row],[SumCount]]-crime_incidents_za[[#This Row],[Count]])</f>
        <v>0</v>
      </c>
      <c r="N43" t="s">
        <v>28</v>
      </c>
      <c r="O43" t="s">
        <v>39</v>
      </c>
      <c r="P43" t="s">
        <v>27</v>
      </c>
      <c r="Q43">
        <v>11673</v>
      </c>
    </row>
    <row r="44" spans="1:17" x14ac:dyDescent="0.25">
      <c r="A44" t="s">
        <v>30</v>
      </c>
      <c r="B44" t="s">
        <v>17</v>
      </c>
      <c r="C44" t="s">
        <v>22</v>
      </c>
      <c r="D44">
        <v>172814</v>
      </c>
      <c r="G44" t="s">
        <v>39</v>
      </c>
      <c r="H44" t="s">
        <v>43</v>
      </c>
      <c r="I44">
        <v>117505</v>
      </c>
      <c r="J44">
        <f>SUMIFS(Count_filt,Crime_Category_filt,crime_incidents_za[[#This Row],[Crime Category]],Financial_Year_filt,crime_incidents_za[[#This Row],[Financial Year]])</f>
        <v>117505</v>
      </c>
      <c r="K44">
        <f>ABS(crime_incidents_za[[#This Row],[SumCount]]-crime_incidents_za[[#This Row],[Count]])</f>
        <v>0</v>
      </c>
      <c r="N44" t="s">
        <v>28</v>
      </c>
      <c r="O44" t="s">
        <v>39</v>
      </c>
      <c r="P44" t="s">
        <v>43</v>
      </c>
      <c r="Q44">
        <v>13166</v>
      </c>
    </row>
    <row r="45" spans="1:17" x14ac:dyDescent="0.25">
      <c r="A45" t="s">
        <v>30</v>
      </c>
      <c r="B45" t="s">
        <v>17</v>
      </c>
      <c r="C45" t="s">
        <v>23</v>
      </c>
      <c r="D45">
        <v>171466</v>
      </c>
      <c r="G45" t="s">
        <v>39</v>
      </c>
      <c r="H45" t="s">
        <v>44</v>
      </c>
      <c r="I45">
        <v>118816</v>
      </c>
      <c r="J45">
        <f>SUMIFS(Count_filt,Crime_Category_filt,crime_incidents_za[[#This Row],[Crime Category]],Financial_Year_filt,crime_incidents_za[[#This Row],[Financial Year]])</f>
        <v>118816</v>
      </c>
      <c r="K45">
        <f>ABS(crime_incidents_za[[#This Row],[SumCount]]-crime_incidents_za[[#This Row],[Count]])</f>
        <v>0</v>
      </c>
      <c r="N45" t="s">
        <v>28</v>
      </c>
      <c r="O45" t="s">
        <v>39</v>
      </c>
      <c r="P45" t="s">
        <v>44</v>
      </c>
      <c r="Q45">
        <v>13459</v>
      </c>
    </row>
    <row r="46" spans="1:17" x14ac:dyDescent="0.25">
      <c r="A46" t="s">
        <v>30</v>
      </c>
      <c r="B46" t="s">
        <v>17</v>
      </c>
      <c r="C46" t="s">
        <v>24</v>
      </c>
      <c r="D46">
        <v>170640</v>
      </c>
      <c r="G46" t="s">
        <v>42</v>
      </c>
      <c r="H46" t="s">
        <v>18</v>
      </c>
      <c r="I46">
        <v>262726</v>
      </c>
      <c r="J46">
        <f>SUMIFS(Count_filt,Crime_Category_filt,crime_incidents_za[[#This Row],[Crime Category]],Financial_Year_filt,crime_incidents_za[[#This Row],[Financial Year]])</f>
        <v>262726</v>
      </c>
      <c r="K46">
        <f>ABS(crime_incidents_za[[#This Row],[SumCount]]-crime_incidents_za[[#This Row],[Count]])</f>
        <v>0</v>
      </c>
      <c r="N46" t="s">
        <v>28</v>
      </c>
      <c r="O46" t="s">
        <v>42</v>
      </c>
      <c r="P46" t="s">
        <v>18</v>
      </c>
      <c r="Q46">
        <v>20970</v>
      </c>
    </row>
    <row r="47" spans="1:17" x14ac:dyDescent="0.25">
      <c r="A47" t="s">
        <v>30</v>
      </c>
      <c r="B47" t="s">
        <v>17</v>
      </c>
      <c r="C47" t="s">
        <v>25</v>
      </c>
      <c r="D47">
        <v>174894</v>
      </c>
      <c r="G47" t="s">
        <v>42</v>
      </c>
      <c r="H47" t="s">
        <v>19</v>
      </c>
      <c r="I47">
        <v>296734</v>
      </c>
      <c r="J47">
        <f>SUMIFS(Count_filt,Crime_Category_filt,crime_incidents_za[[#This Row],[Crime Category]],Financial_Year_filt,crime_incidents_za[[#This Row],[Financial Year]])</f>
        <v>296734</v>
      </c>
      <c r="K47">
        <f>ABS(crime_incidents_za[[#This Row],[SumCount]]-crime_incidents_za[[#This Row],[Count]])</f>
        <v>0</v>
      </c>
      <c r="N47" t="s">
        <v>28</v>
      </c>
      <c r="O47" t="s">
        <v>42</v>
      </c>
      <c r="P47" t="s">
        <v>19</v>
      </c>
      <c r="Q47">
        <v>22100</v>
      </c>
    </row>
    <row r="48" spans="1:17" x14ac:dyDescent="0.25">
      <c r="A48" t="s">
        <v>30</v>
      </c>
      <c r="B48" t="s">
        <v>17</v>
      </c>
      <c r="C48" t="s">
        <v>26</v>
      </c>
      <c r="D48">
        <v>177737</v>
      </c>
      <c r="G48" t="s">
        <v>42</v>
      </c>
      <c r="H48" t="s">
        <v>20</v>
      </c>
      <c r="I48">
        <v>350403</v>
      </c>
      <c r="J48">
        <f>SUMIFS(Count_filt,Crime_Category_filt,crime_incidents_za[[#This Row],[Crime Category]],Financial_Year_filt,crime_incidents_za[[#This Row],[Financial Year]])</f>
        <v>350403</v>
      </c>
      <c r="K48">
        <f>ABS(crime_incidents_za[[#This Row],[SumCount]]-crime_incidents_za[[#This Row],[Count]])</f>
        <v>0</v>
      </c>
      <c r="N48" t="s">
        <v>28</v>
      </c>
      <c r="O48" t="s">
        <v>42</v>
      </c>
      <c r="P48" t="s">
        <v>20</v>
      </c>
      <c r="Q48">
        <v>24334</v>
      </c>
    </row>
    <row r="49" spans="1:17" x14ac:dyDescent="0.25">
      <c r="A49" t="s">
        <v>30</v>
      </c>
      <c r="B49" t="s">
        <v>17</v>
      </c>
      <c r="C49" t="s">
        <v>27</v>
      </c>
      <c r="D49">
        <v>151911</v>
      </c>
      <c r="G49" t="s">
        <v>42</v>
      </c>
      <c r="H49" t="s">
        <v>21</v>
      </c>
      <c r="I49">
        <v>356919</v>
      </c>
      <c r="J49">
        <f>SUMIFS(Count_filt,Crime_Category_filt,crime_incidents_za[[#This Row],[Crime Category]],Financial_Year_filt,crime_incidents_za[[#This Row],[Financial Year]])</f>
        <v>356919</v>
      </c>
      <c r="K49">
        <f>ABS(crime_incidents_za[[#This Row],[SumCount]]-crime_incidents_za[[#This Row],[Count]])</f>
        <v>0</v>
      </c>
      <c r="N49" t="s">
        <v>28</v>
      </c>
      <c r="O49" t="s">
        <v>42</v>
      </c>
      <c r="P49" t="s">
        <v>21</v>
      </c>
      <c r="Q49">
        <v>24922</v>
      </c>
    </row>
    <row r="50" spans="1:17" x14ac:dyDescent="0.25">
      <c r="A50" t="s">
        <v>31</v>
      </c>
      <c r="B50" t="s">
        <v>17</v>
      </c>
      <c r="C50" t="s">
        <v>18</v>
      </c>
      <c r="D50">
        <v>105443</v>
      </c>
      <c r="G50" t="s">
        <v>42</v>
      </c>
      <c r="H50" t="s">
        <v>22</v>
      </c>
      <c r="I50">
        <v>355926</v>
      </c>
      <c r="J50">
        <f>SUMIFS(Count_filt,Crime_Category_filt,crime_incidents_za[[#This Row],[Crime Category]],Financial_Year_filt,crime_incidents_za[[#This Row],[Financial Year]])</f>
        <v>355926</v>
      </c>
      <c r="K50">
        <f>ABS(crime_incidents_za[[#This Row],[SumCount]]-crime_incidents_za[[#This Row],[Count]])</f>
        <v>0</v>
      </c>
      <c r="N50" t="s">
        <v>28</v>
      </c>
      <c r="O50" t="s">
        <v>42</v>
      </c>
      <c r="P50" t="s">
        <v>22</v>
      </c>
      <c r="Q50">
        <v>24711</v>
      </c>
    </row>
    <row r="51" spans="1:17" x14ac:dyDescent="0.25">
      <c r="A51" t="s">
        <v>31</v>
      </c>
      <c r="B51" t="s">
        <v>17</v>
      </c>
      <c r="C51" t="s">
        <v>19</v>
      </c>
      <c r="D51">
        <v>105444</v>
      </c>
      <c r="G51" t="s">
        <v>42</v>
      </c>
      <c r="H51" t="s">
        <v>23</v>
      </c>
      <c r="I51">
        <v>390021</v>
      </c>
      <c r="J51">
        <f>SUMIFS(Count_filt,Crime_Category_filt,crime_incidents_za[[#This Row],[Crime Category]],Financial_Year_filt,crime_incidents_za[[#This Row],[Financial Year]])</f>
        <v>390021</v>
      </c>
      <c r="K51">
        <f>ABS(crime_incidents_za[[#This Row],[SumCount]]-crime_incidents_za[[#This Row],[Count]])</f>
        <v>0</v>
      </c>
      <c r="N51" t="s">
        <v>28</v>
      </c>
      <c r="O51" t="s">
        <v>42</v>
      </c>
      <c r="P51" t="s">
        <v>23</v>
      </c>
      <c r="Q51">
        <v>26182</v>
      </c>
    </row>
    <row r="52" spans="1:17" x14ac:dyDescent="0.25">
      <c r="A52" t="s">
        <v>31</v>
      </c>
      <c r="B52" t="s">
        <v>17</v>
      </c>
      <c r="C52" t="s">
        <v>20</v>
      </c>
      <c r="D52">
        <v>101983</v>
      </c>
      <c r="G52" t="s">
        <v>42</v>
      </c>
      <c r="H52" t="s">
        <v>24</v>
      </c>
      <c r="I52">
        <v>433966</v>
      </c>
      <c r="J52">
        <f>SUMIFS(Count_filt,Crime_Category_filt,crime_incidents_za[[#This Row],[Crime Category]],Financial_Year_filt,crime_incidents_za[[#This Row],[Financial Year]])</f>
        <v>433966</v>
      </c>
      <c r="K52">
        <f>ABS(crime_incidents_za[[#This Row],[SumCount]]-crime_incidents_za[[#This Row],[Count]])</f>
        <v>0</v>
      </c>
      <c r="N52" t="s">
        <v>28</v>
      </c>
      <c r="O52" t="s">
        <v>42</v>
      </c>
      <c r="P52" t="s">
        <v>24</v>
      </c>
      <c r="Q52">
        <v>27001</v>
      </c>
    </row>
    <row r="53" spans="1:17" x14ac:dyDescent="0.25">
      <c r="A53" t="s">
        <v>31</v>
      </c>
      <c r="B53" t="s">
        <v>17</v>
      </c>
      <c r="C53" t="s">
        <v>21</v>
      </c>
      <c r="D53">
        <v>98757</v>
      </c>
      <c r="G53" t="s">
        <v>42</v>
      </c>
      <c r="H53" t="s">
        <v>25</v>
      </c>
      <c r="I53">
        <v>339281</v>
      </c>
      <c r="J53">
        <f>SUMIFS(Count_filt,Crime_Category_filt,crime_incidents_za[[#This Row],[Crime Category]],Financial_Year_filt,crime_incidents_za[[#This Row],[Financial Year]])</f>
        <v>339281</v>
      </c>
      <c r="K53">
        <f>ABS(crime_incidents_za[[#This Row],[SumCount]]-crime_incidents_za[[#This Row],[Count]])</f>
        <v>0</v>
      </c>
      <c r="N53" t="s">
        <v>28</v>
      </c>
      <c r="O53" t="s">
        <v>42</v>
      </c>
      <c r="P53" t="s">
        <v>25</v>
      </c>
      <c r="Q53">
        <v>22558</v>
      </c>
    </row>
    <row r="54" spans="1:17" x14ac:dyDescent="0.25">
      <c r="A54" t="s">
        <v>31</v>
      </c>
      <c r="B54" t="s">
        <v>17</v>
      </c>
      <c r="C54" t="s">
        <v>22</v>
      </c>
      <c r="D54">
        <v>97870</v>
      </c>
      <c r="G54" t="s">
        <v>42</v>
      </c>
      <c r="H54" t="s">
        <v>26</v>
      </c>
      <c r="I54">
        <v>290176</v>
      </c>
      <c r="J54">
        <f>SUMIFS(Count_filt,Crime_Category_filt,crime_incidents_za[[#This Row],[Crime Category]],Financial_Year_filt,crime_incidents_za[[#This Row],[Financial Year]])</f>
        <v>290176</v>
      </c>
      <c r="K54">
        <f>ABS(crime_incidents_za[[#This Row],[SumCount]]-crime_incidents_za[[#This Row],[Count]])</f>
        <v>0</v>
      </c>
      <c r="N54" t="s">
        <v>28</v>
      </c>
      <c r="O54" t="s">
        <v>42</v>
      </c>
      <c r="P54" t="s">
        <v>26</v>
      </c>
      <c r="Q54">
        <v>20869</v>
      </c>
    </row>
    <row r="55" spans="1:17" x14ac:dyDescent="0.25">
      <c r="A55" t="s">
        <v>31</v>
      </c>
      <c r="B55" t="s">
        <v>17</v>
      </c>
      <c r="C55" t="s">
        <v>23</v>
      </c>
      <c r="D55">
        <v>95153</v>
      </c>
      <c r="G55" t="s">
        <v>42</v>
      </c>
      <c r="H55" t="s">
        <v>27</v>
      </c>
      <c r="I55">
        <v>177095</v>
      </c>
      <c r="J55">
        <f>SUMIFS(Count_filt,Crime_Category_filt,crime_incidents_za[[#This Row],[Crime Category]],Financial_Year_filt,crime_incidents_za[[#This Row],[Financial Year]])</f>
        <v>177095</v>
      </c>
      <c r="K55">
        <f>ABS(crime_incidents_za[[#This Row],[SumCount]]-crime_incidents_za[[#This Row],[Count]])</f>
        <v>0</v>
      </c>
      <c r="N55" t="s">
        <v>28</v>
      </c>
      <c r="O55" t="s">
        <v>42</v>
      </c>
      <c r="P55" t="s">
        <v>27</v>
      </c>
      <c r="Q55">
        <v>13427</v>
      </c>
    </row>
    <row r="56" spans="1:17" x14ac:dyDescent="0.25">
      <c r="A56" t="s">
        <v>31</v>
      </c>
      <c r="B56" t="s">
        <v>17</v>
      </c>
      <c r="C56" t="s">
        <v>24</v>
      </c>
      <c r="D56">
        <v>94914</v>
      </c>
      <c r="G56" s="9" t="s">
        <v>42</v>
      </c>
      <c r="H56" s="9" t="s">
        <v>43</v>
      </c>
      <c r="I56" s="9">
        <v>204990</v>
      </c>
      <c r="J56" s="9">
        <f>395191</f>
        <v>395191</v>
      </c>
      <c r="K56" s="9">
        <f>ABS(crime_incidents_za[[#This Row],[SumCount]]-crime_incidents_za[[#This Row],[Count]])</f>
        <v>190201</v>
      </c>
      <c r="N56" s="9" t="s">
        <v>28</v>
      </c>
      <c r="O56" s="9" t="s">
        <v>42</v>
      </c>
      <c r="P56" s="9" t="s">
        <v>43</v>
      </c>
      <c r="Q56" s="9">
        <v>14789</v>
      </c>
    </row>
    <row r="57" spans="1:17" x14ac:dyDescent="0.25">
      <c r="A57" t="s">
        <v>31</v>
      </c>
      <c r="B57" t="s">
        <v>17</v>
      </c>
      <c r="C57" t="s">
        <v>25</v>
      </c>
      <c r="D57">
        <v>97505</v>
      </c>
      <c r="G57" t="s">
        <v>42</v>
      </c>
      <c r="H57" t="s">
        <v>44</v>
      </c>
      <c r="I57">
        <v>228983</v>
      </c>
      <c r="J57">
        <f>SUMIFS(Count_filt,Crime_Category_filt,crime_incidents_za[[#This Row],[Crime Category]],Financial_Year_filt,crime_incidents_za[[#This Row],[Financial Year]])</f>
        <v>228983</v>
      </c>
      <c r="K57">
        <f>ABS(crime_incidents_za[[#This Row],[SumCount]]-crime_incidents_za[[#This Row],[Count]])</f>
        <v>0</v>
      </c>
      <c r="N57" t="s">
        <v>28</v>
      </c>
      <c r="O57" t="s">
        <v>42</v>
      </c>
      <c r="P57" t="s">
        <v>44</v>
      </c>
      <c r="Q57">
        <v>16184</v>
      </c>
    </row>
    <row r="58" spans="1:17" x14ac:dyDescent="0.25">
      <c r="A58" t="s">
        <v>31</v>
      </c>
      <c r="B58" t="s">
        <v>17</v>
      </c>
      <c r="C58" t="s">
        <v>26</v>
      </c>
      <c r="D58">
        <v>101154</v>
      </c>
      <c r="G58" t="s">
        <v>41</v>
      </c>
      <c r="H58" t="s">
        <v>18</v>
      </c>
      <c r="I58">
        <v>528296</v>
      </c>
      <c r="J58">
        <f>SUMIFS(Count_filt,Crime_Category_filt,crime_incidents_za[[#This Row],[Crime Category]],Financial_Year_filt,crime_incidents_za[[#This Row],[Financial Year]])</f>
        <v>528296</v>
      </c>
      <c r="K58">
        <f>ABS(crime_incidents_za[[#This Row],[SumCount]]-crime_incidents_za[[#This Row],[Count]])</f>
        <v>0</v>
      </c>
      <c r="N58" t="s">
        <v>28</v>
      </c>
      <c r="O58" t="s">
        <v>41</v>
      </c>
      <c r="P58" t="s">
        <v>18</v>
      </c>
      <c r="Q58">
        <v>43690</v>
      </c>
    </row>
    <row r="59" spans="1:17" x14ac:dyDescent="0.25">
      <c r="A59" t="s">
        <v>31</v>
      </c>
      <c r="B59" t="s">
        <v>17</v>
      </c>
      <c r="C59" t="s">
        <v>27</v>
      </c>
      <c r="D59">
        <v>88851</v>
      </c>
      <c r="G59" t="s">
        <v>41</v>
      </c>
      <c r="H59" t="s">
        <v>19</v>
      </c>
      <c r="I59">
        <v>517252</v>
      </c>
      <c r="J59">
        <f>SUMIFS(Count_filt,Crime_Category_filt,crime_incidents_za[[#This Row],[Crime Category]],Financial_Year_filt,crime_incidents_za[[#This Row],[Financial Year]])</f>
        <v>517252</v>
      </c>
      <c r="K59">
        <f>ABS(crime_incidents_za[[#This Row],[SumCount]]-crime_incidents_za[[#This Row],[Count]])</f>
        <v>0</v>
      </c>
      <c r="N59" t="s">
        <v>28</v>
      </c>
      <c r="O59" t="s">
        <v>41</v>
      </c>
      <c r="P59" t="s">
        <v>19</v>
      </c>
      <c r="Q59">
        <v>40986</v>
      </c>
    </row>
    <row r="60" spans="1:17" x14ac:dyDescent="0.25">
      <c r="A60" t="s">
        <v>32</v>
      </c>
      <c r="B60" t="s">
        <v>17</v>
      </c>
      <c r="C60" t="s">
        <v>18</v>
      </c>
      <c r="D60">
        <v>38826</v>
      </c>
      <c r="G60" t="s">
        <v>41</v>
      </c>
      <c r="H60" t="s">
        <v>20</v>
      </c>
      <c r="I60">
        <v>510748</v>
      </c>
      <c r="J60">
        <f>SUMIFS(Count_filt,Crime_Category_filt,crime_incidents_za[[#This Row],[Crime Category]],Financial_Year_filt,crime_incidents_za[[#This Row],[Financial Year]])</f>
        <v>510748</v>
      </c>
      <c r="K60">
        <f>ABS(crime_incidents_za[[#This Row],[SumCount]]-crime_incidents_za[[#This Row],[Count]])</f>
        <v>0</v>
      </c>
      <c r="N60" t="s">
        <v>28</v>
      </c>
      <c r="O60" t="s">
        <v>41</v>
      </c>
      <c r="P60" t="s">
        <v>20</v>
      </c>
      <c r="Q60">
        <v>40725</v>
      </c>
    </row>
    <row r="61" spans="1:17" x14ac:dyDescent="0.25">
      <c r="A61" t="s">
        <v>32</v>
      </c>
      <c r="B61" t="s">
        <v>17</v>
      </c>
      <c r="C61" t="s">
        <v>19</v>
      </c>
      <c r="D61">
        <v>36786</v>
      </c>
      <c r="G61" t="s">
        <v>41</v>
      </c>
      <c r="H61" t="s">
        <v>21</v>
      </c>
      <c r="I61">
        <v>499698</v>
      </c>
      <c r="J61">
        <f>SUMIFS(Count_filt,Crime_Category_filt,crime_incidents_za[[#This Row],[Crime Category]],Financial_Year_filt,crime_incidents_za[[#This Row],[Financial Year]])</f>
        <v>499698</v>
      </c>
      <c r="K61">
        <f>ABS(crime_incidents_za[[#This Row],[SumCount]]-crime_incidents_za[[#This Row],[Count]])</f>
        <v>0</v>
      </c>
      <c r="N61" t="s">
        <v>28</v>
      </c>
      <c r="O61" t="s">
        <v>41</v>
      </c>
      <c r="P61" t="s">
        <v>21</v>
      </c>
      <c r="Q61">
        <v>37188</v>
      </c>
    </row>
    <row r="62" spans="1:17" x14ac:dyDescent="0.25">
      <c r="A62" t="s">
        <v>32</v>
      </c>
      <c r="B62" t="s">
        <v>17</v>
      </c>
      <c r="C62" t="s">
        <v>20</v>
      </c>
      <c r="D62">
        <v>35953</v>
      </c>
      <c r="G62" t="s">
        <v>41</v>
      </c>
      <c r="H62" t="s">
        <v>22</v>
      </c>
      <c r="I62">
        <v>479075</v>
      </c>
      <c r="J62">
        <f>SUMIFS(Count_filt,Crime_Category_filt,crime_incidents_za[[#This Row],[Crime Category]],Financial_Year_filt,crime_incidents_za[[#This Row],[Financial Year]])</f>
        <v>479075</v>
      </c>
      <c r="K62">
        <f>ABS(crime_incidents_za[[#This Row],[SumCount]]-crime_incidents_za[[#This Row],[Count]])</f>
        <v>0</v>
      </c>
      <c r="N62" t="s">
        <v>28</v>
      </c>
      <c r="O62" t="s">
        <v>41</v>
      </c>
      <c r="P62" t="s">
        <v>22</v>
      </c>
      <c r="Q62">
        <v>35238</v>
      </c>
    </row>
    <row r="63" spans="1:17" x14ac:dyDescent="0.25">
      <c r="A63" t="s">
        <v>32</v>
      </c>
      <c r="B63" t="s">
        <v>17</v>
      </c>
      <c r="C63" t="s">
        <v>21</v>
      </c>
      <c r="D63">
        <v>37971</v>
      </c>
      <c r="G63" t="s">
        <v>41</v>
      </c>
      <c r="H63" t="s">
        <v>23</v>
      </c>
      <c r="I63">
        <v>469276</v>
      </c>
      <c r="J63">
        <f>SUMIFS(Count_filt,Crime_Category_filt,crime_incidents_za[[#This Row],[Crime Category]],Financial_Year_filt,crime_incidents_za[[#This Row],[Financial Year]])</f>
        <v>469276</v>
      </c>
      <c r="K63">
        <f>ABS(crime_incidents_za[[#This Row],[SumCount]]-crime_incidents_za[[#This Row],[Count]])</f>
        <v>0</v>
      </c>
      <c r="N63" t="s">
        <v>28</v>
      </c>
      <c r="O63" t="s">
        <v>41</v>
      </c>
      <c r="P63" t="s">
        <v>23</v>
      </c>
      <c r="Q63">
        <v>36461</v>
      </c>
    </row>
    <row r="64" spans="1:17" x14ac:dyDescent="0.25">
      <c r="A64" t="s">
        <v>32</v>
      </c>
      <c r="B64" t="s">
        <v>17</v>
      </c>
      <c r="C64" t="s">
        <v>22</v>
      </c>
      <c r="D64">
        <v>40391</v>
      </c>
      <c r="G64" t="s">
        <v>41</v>
      </c>
      <c r="H64" t="s">
        <v>24</v>
      </c>
      <c r="I64">
        <v>438113</v>
      </c>
      <c r="J64">
        <f>SUMIFS(Count_filt,Crime_Category_filt,crime_incidents_za[[#This Row],[Crime Category]],Financial_Year_filt,crime_incidents_za[[#This Row],[Financial Year]])</f>
        <v>438113</v>
      </c>
      <c r="K64">
        <f>ABS(crime_incidents_za[[#This Row],[SumCount]]-crime_incidents_za[[#This Row],[Count]])</f>
        <v>0</v>
      </c>
      <c r="N64" t="s">
        <v>28</v>
      </c>
      <c r="O64" t="s">
        <v>41</v>
      </c>
      <c r="P64" t="s">
        <v>24</v>
      </c>
      <c r="Q64">
        <v>34256</v>
      </c>
    </row>
    <row r="65" spans="1:17" x14ac:dyDescent="0.25">
      <c r="A65" t="s">
        <v>32</v>
      </c>
      <c r="B65" t="s">
        <v>17</v>
      </c>
      <c r="C65" t="s">
        <v>23</v>
      </c>
      <c r="D65">
        <v>36764</v>
      </c>
      <c r="G65" t="s">
        <v>41</v>
      </c>
      <c r="H65" t="s">
        <v>25</v>
      </c>
      <c r="I65">
        <v>444447</v>
      </c>
      <c r="J65">
        <f>SUMIFS(Count_filt,Crime_Category_filt,crime_incidents_za[[#This Row],[Crime Category]],Financial_Year_filt,crime_incidents_za[[#This Row],[Financial Year]])</f>
        <v>444447</v>
      </c>
      <c r="K65">
        <f>ABS(crime_incidents_za[[#This Row],[SumCount]]-crime_incidents_za[[#This Row],[Count]])</f>
        <v>0</v>
      </c>
      <c r="N65" t="s">
        <v>28</v>
      </c>
      <c r="O65" t="s">
        <v>41</v>
      </c>
      <c r="P65" t="s">
        <v>25</v>
      </c>
      <c r="Q65">
        <v>36271</v>
      </c>
    </row>
    <row r="66" spans="1:17" x14ac:dyDescent="0.25">
      <c r="A66" t="s">
        <v>32</v>
      </c>
      <c r="B66" t="s">
        <v>17</v>
      </c>
      <c r="C66" t="s">
        <v>24</v>
      </c>
      <c r="D66">
        <v>35068</v>
      </c>
      <c r="G66" t="s">
        <v>41</v>
      </c>
      <c r="H66" t="s">
        <v>26</v>
      </c>
      <c r="I66">
        <v>426569</v>
      </c>
      <c r="J66">
        <f>SUMIFS(Count_filt,Crime_Category_filt,crime_incidents_za[[#This Row],[Crime Category]],Financial_Year_filt,crime_incidents_za[[#This Row],[Financial Year]])</f>
        <v>426569</v>
      </c>
      <c r="K66">
        <f>ABS(crime_incidents_za[[#This Row],[SumCount]]-crime_incidents_za[[#This Row],[Count]])</f>
        <v>0</v>
      </c>
      <c r="N66" t="s">
        <v>28</v>
      </c>
      <c r="O66" t="s">
        <v>41</v>
      </c>
      <c r="P66" t="s">
        <v>26</v>
      </c>
      <c r="Q66">
        <v>37480</v>
      </c>
    </row>
    <row r="67" spans="1:17" x14ac:dyDescent="0.25">
      <c r="A67" t="s">
        <v>32</v>
      </c>
      <c r="B67" t="s">
        <v>17</v>
      </c>
      <c r="C67" t="s">
        <v>25</v>
      </c>
      <c r="D67">
        <v>35266</v>
      </c>
      <c r="G67" t="s">
        <v>41</v>
      </c>
      <c r="H67" t="s">
        <v>27</v>
      </c>
      <c r="I67">
        <v>354566</v>
      </c>
      <c r="J67">
        <f>SUMIFS(Count_filt,Crime_Category_filt,crime_incidents_za[[#This Row],[Crime Category]],Financial_Year_filt,crime_incidents_za[[#This Row],[Financial Year]])</f>
        <v>354566</v>
      </c>
      <c r="K67">
        <f>ABS(crime_incidents_za[[#This Row],[SumCount]]-crime_incidents_za[[#This Row],[Count]])</f>
        <v>0</v>
      </c>
      <c r="N67" t="s">
        <v>28</v>
      </c>
      <c r="O67" t="s">
        <v>41</v>
      </c>
      <c r="P67" t="s">
        <v>27</v>
      </c>
      <c r="Q67">
        <v>32999</v>
      </c>
    </row>
    <row r="68" spans="1:17" x14ac:dyDescent="0.25">
      <c r="A68" t="s">
        <v>32</v>
      </c>
      <c r="B68" t="s">
        <v>17</v>
      </c>
      <c r="C68" t="s">
        <v>26</v>
      </c>
      <c r="D68">
        <v>34780</v>
      </c>
      <c r="G68" t="s">
        <v>41</v>
      </c>
      <c r="H68" t="s">
        <v>43</v>
      </c>
      <c r="I68">
        <v>393821</v>
      </c>
      <c r="J68">
        <f>SUMIFS(Count_filt,Crime_Category_filt,crime_incidents_za[[#This Row],[Crime Category]],Financial_Year_filt,crime_incidents_za[[#This Row],[Financial Year]])</f>
        <v>393821</v>
      </c>
      <c r="K68">
        <f>ABS(crime_incidents_za[[#This Row],[SumCount]]-crime_incidents_za[[#This Row],[Count]])</f>
        <v>0</v>
      </c>
      <c r="N68" t="s">
        <v>28</v>
      </c>
      <c r="O68" t="s">
        <v>41</v>
      </c>
      <c r="P68" t="s">
        <v>43</v>
      </c>
      <c r="Q68">
        <v>36542</v>
      </c>
    </row>
    <row r="69" spans="1:17" x14ac:dyDescent="0.25">
      <c r="A69" t="s">
        <v>32</v>
      </c>
      <c r="B69" t="s">
        <v>17</v>
      </c>
      <c r="C69" t="s">
        <v>27</v>
      </c>
      <c r="D69">
        <v>31120</v>
      </c>
      <c r="G69" t="s">
        <v>41</v>
      </c>
      <c r="H69" t="s">
        <v>44</v>
      </c>
      <c r="I69">
        <v>437038</v>
      </c>
      <c r="J69">
        <f>SUMIFS(Count_filt,Crime_Category_filt,crime_incidents_za[[#This Row],[Crime Category]],Financial_Year_filt,crime_incidents_za[[#This Row],[Financial Year]])</f>
        <v>437038</v>
      </c>
      <c r="K69">
        <f>ABS(crime_incidents_za[[#This Row],[SumCount]]-crime_incidents_za[[#This Row],[Count]])</f>
        <v>0</v>
      </c>
      <c r="N69" t="s">
        <v>28</v>
      </c>
      <c r="O69" t="s">
        <v>41</v>
      </c>
      <c r="P69" t="s">
        <v>44</v>
      </c>
      <c r="Q69">
        <v>39447</v>
      </c>
    </row>
    <row r="70" spans="1:17" x14ac:dyDescent="0.25">
      <c r="A70" t="s">
        <v>33</v>
      </c>
      <c r="B70" t="s">
        <v>17</v>
      </c>
      <c r="C70" t="s">
        <v>18</v>
      </c>
      <c r="D70">
        <v>36661</v>
      </c>
      <c r="G70" t="s">
        <v>40</v>
      </c>
      <c r="H70" t="s">
        <v>18</v>
      </c>
      <c r="I70">
        <v>530624</v>
      </c>
      <c r="J70">
        <f>SUMIFS(Count_filt,Crime_Category_filt,crime_incidents_za[[#This Row],[Crime Category]],Financial_Year_filt,crime_incidents_za[[#This Row],[Financial Year]])</f>
        <v>530624</v>
      </c>
      <c r="K70">
        <f>ABS(crime_incidents_za[[#This Row],[SumCount]]-crime_incidents_za[[#This Row],[Count]])</f>
        <v>0</v>
      </c>
      <c r="N70" t="s">
        <v>28</v>
      </c>
      <c r="O70" t="s">
        <v>40</v>
      </c>
      <c r="P70" t="s">
        <v>18</v>
      </c>
      <c r="Q70">
        <v>55742</v>
      </c>
    </row>
    <row r="71" spans="1:17" x14ac:dyDescent="0.25">
      <c r="A71" t="s">
        <v>33</v>
      </c>
      <c r="B71" t="s">
        <v>17</v>
      </c>
      <c r="C71" t="s">
        <v>19</v>
      </c>
      <c r="D71">
        <v>33692</v>
      </c>
      <c r="G71" t="s">
        <v>40</v>
      </c>
      <c r="H71" t="s">
        <v>19</v>
      </c>
      <c r="I71">
        <v>558334</v>
      </c>
      <c r="J71">
        <f>SUMIFS(Count_filt,Crime_Category_filt,crime_incidents_za[[#This Row],[Crime Category]],Financial_Year_filt,crime_incidents_za[[#This Row],[Financial Year]])</f>
        <v>558334</v>
      </c>
      <c r="K71">
        <f>ABS(crime_incidents_za[[#This Row],[SumCount]]-crime_incidents_za[[#This Row],[Count]])</f>
        <v>0</v>
      </c>
      <c r="N71" t="s">
        <v>28</v>
      </c>
      <c r="O71" t="s">
        <v>40</v>
      </c>
      <c r="P71" t="s">
        <v>19</v>
      </c>
      <c r="Q71">
        <v>55484</v>
      </c>
    </row>
    <row r="72" spans="1:17" x14ac:dyDescent="0.25">
      <c r="A72" t="s">
        <v>33</v>
      </c>
      <c r="B72" t="s">
        <v>17</v>
      </c>
      <c r="C72" t="s">
        <v>20</v>
      </c>
      <c r="D72">
        <v>31775</v>
      </c>
      <c r="G72" s="8" t="s">
        <v>40</v>
      </c>
      <c r="H72" s="8" t="s">
        <v>20</v>
      </c>
      <c r="I72" s="8">
        <v>558228</v>
      </c>
      <c r="J72" s="8">
        <f>SUMIFS(Count_filt,Crime_Category_filt,crime_incidents_za[[#This Row],[Crime Category]],Financial_Year_filt,crime_incidents_za[[#This Row],[Financial Year]])</f>
        <v>557640</v>
      </c>
      <c r="K72" s="8">
        <f>ABS(crime_incidents_za[[#This Row],[SumCount]]-crime_incidents_za[[#This Row],[Count]])</f>
        <v>588</v>
      </c>
      <c r="N72" t="s">
        <v>28</v>
      </c>
      <c r="O72" t="s">
        <v>40</v>
      </c>
      <c r="P72" t="s">
        <v>20</v>
      </c>
      <c r="Q72">
        <v>53240</v>
      </c>
    </row>
    <row r="73" spans="1:17" x14ac:dyDescent="0.25">
      <c r="A73" t="s">
        <v>33</v>
      </c>
      <c r="B73" t="s">
        <v>17</v>
      </c>
      <c r="C73" t="s">
        <v>21</v>
      </c>
      <c r="D73">
        <v>31886</v>
      </c>
      <c r="G73" t="s">
        <v>40</v>
      </c>
      <c r="H73" t="s">
        <v>21</v>
      </c>
      <c r="I73">
        <v>553487</v>
      </c>
      <c r="J73">
        <f>SUMIFS(Count_filt,Crime_Category_filt,crime_incidents_za[[#This Row],[Crime Category]],Financial_Year_filt,crime_incidents_za[[#This Row],[Financial Year]])</f>
        <v>553487</v>
      </c>
      <c r="K73">
        <f>ABS(crime_incidents_za[[#This Row],[SumCount]]-crime_incidents_za[[#This Row],[Count]])</f>
        <v>0</v>
      </c>
      <c r="N73" t="s">
        <v>28</v>
      </c>
      <c r="O73" t="s">
        <v>40</v>
      </c>
      <c r="P73" t="s">
        <v>21</v>
      </c>
      <c r="Q73">
        <v>53536</v>
      </c>
    </row>
    <row r="74" spans="1:17" x14ac:dyDescent="0.25">
      <c r="A74" t="s">
        <v>33</v>
      </c>
      <c r="B74" t="s">
        <v>17</v>
      </c>
      <c r="C74" t="s">
        <v>22</v>
      </c>
      <c r="D74">
        <v>32737</v>
      </c>
      <c r="G74" t="s">
        <v>40</v>
      </c>
      <c r="H74" t="s">
        <v>22</v>
      </c>
      <c r="I74">
        <v>543524</v>
      </c>
      <c r="J74">
        <f>SUMIFS(Count_filt,Crime_Category_filt,crime_incidents_za[[#This Row],[Crime Category]],Financial_Year_filt,crime_incidents_za[[#This Row],[Financial Year]])</f>
        <v>543524</v>
      </c>
      <c r="K74">
        <f>ABS(crime_incidents_za[[#This Row],[SumCount]]-crime_incidents_za[[#This Row],[Count]])</f>
        <v>0</v>
      </c>
      <c r="N74" t="s">
        <v>28</v>
      </c>
      <c r="O74" t="s">
        <v>40</v>
      </c>
      <c r="P74" t="s">
        <v>22</v>
      </c>
      <c r="Q74">
        <v>51083</v>
      </c>
    </row>
    <row r="75" spans="1:17" x14ac:dyDescent="0.25">
      <c r="A75" t="s">
        <v>33</v>
      </c>
      <c r="B75" t="s">
        <v>17</v>
      </c>
      <c r="C75" t="s">
        <v>23</v>
      </c>
      <c r="D75">
        <v>33381</v>
      </c>
      <c r="G75" t="s">
        <v>40</v>
      </c>
      <c r="H75" t="s">
        <v>23</v>
      </c>
      <c r="I75">
        <v>540653</v>
      </c>
      <c r="J75">
        <f>SUMIFS(Count_filt,Crime_Category_filt,crime_incidents_za[[#This Row],[Crime Category]],Financial_Year_filt,crime_incidents_za[[#This Row],[Financial Year]])</f>
        <v>540653</v>
      </c>
      <c r="K75">
        <f>ABS(crime_incidents_za[[#This Row],[SumCount]]-crime_incidents_za[[#This Row],[Count]])</f>
        <v>0</v>
      </c>
      <c r="N75" t="s">
        <v>28</v>
      </c>
      <c r="O75" t="s">
        <v>40</v>
      </c>
      <c r="P75" t="s">
        <v>23</v>
      </c>
      <c r="Q75">
        <v>53097</v>
      </c>
    </row>
    <row r="76" spans="1:17" x14ac:dyDescent="0.25">
      <c r="A76" t="s">
        <v>33</v>
      </c>
      <c r="B76" t="s">
        <v>17</v>
      </c>
      <c r="C76" t="s">
        <v>24</v>
      </c>
      <c r="D76">
        <v>32646</v>
      </c>
      <c r="G76" t="s">
        <v>40</v>
      </c>
      <c r="H76" t="s">
        <v>24</v>
      </c>
      <c r="I76">
        <v>507975</v>
      </c>
      <c r="J76">
        <f>SUMIFS(Count_filt,Crime_Category_filt,crime_incidents_za[[#This Row],[Crime Category]],Financial_Year_filt,crime_incidents_za[[#This Row],[Financial Year]])</f>
        <v>507975</v>
      </c>
      <c r="K76">
        <f>ABS(crime_incidents_za[[#This Row],[SumCount]]-crime_incidents_za[[#This Row],[Count]])</f>
        <v>0</v>
      </c>
      <c r="N76" t="s">
        <v>28</v>
      </c>
      <c r="O76" t="s">
        <v>40</v>
      </c>
      <c r="P76" t="s">
        <v>24</v>
      </c>
      <c r="Q76">
        <v>51513</v>
      </c>
    </row>
    <row r="77" spans="1:17" x14ac:dyDescent="0.25">
      <c r="A77" t="s">
        <v>33</v>
      </c>
      <c r="B77" t="s">
        <v>17</v>
      </c>
      <c r="C77" t="s">
        <v>25</v>
      </c>
      <c r="D77">
        <v>34885</v>
      </c>
      <c r="G77" t="s">
        <v>40</v>
      </c>
      <c r="H77" t="s">
        <v>25</v>
      </c>
      <c r="I77">
        <v>495161</v>
      </c>
      <c r="J77">
        <f>SUMIFS(Count_filt,Crime_Category_filt,crime_incidents_za[[#This Row],[Crime Category]],Financial_Year_filt,crime_incidents_za[[#This Row],[Financial Year]])</f>
        <v>495161</v>
      </c>
      <c r="K77">
        <f>ABS(crime_incidents_za[[#This Row],[SumCount]]-crime_incidents_za[[#This Row],[Count]])</f>
        <v>0</v>
      </c>
      <c r="N77" t="s">
        <v>28</v>
      </c>
      <c r="O77" t="s">
        <v>40</v>
      </c>
      <c r="P77" t="s">
        <v>25</v>
      </c>
      <c r="Q77">
        <v>51875</v>
      </c>
    </row>
    <row r="78" spans="1:17" x14ac:dyDescent="0.25">
      <c r="A78" t="s">
        <v>33</v>
      </c>
      <c r="B78" t="s">
        <v>17</v>
      </c>
      <c r="C78" t="s">
        <v>26</v>
      </c>
      <c r="D78">
        <v>35622</v>
      </c>
      <c r="G78" t="s">
        <v>40</v>
      </c>
      <c r="H78" t="s">
        <v>26</v>
      </c>
      <c r="I78">
        <v>469224</v>
      </c>
      <c r="J78">
        <f>SUMIFS(Count_filt,Crime_Category_filt,crime_incidents_za[[#This Row],[Crime Category]],Financial_Year_filt,crime_incidents_za[[#This Row],[Financial Year]])</f>
        <v>469224</v>
      </c>
      <c r="K78">
        <f>ABS(crime_incidents_za[[#This Row],[SumCount]]-crime_incidents_za[[#This Row],[Count]])</f>
        <v>0</v>
      </c>
      <c r="N78" t="s">
        <v>28</v>
      </c>
      <c r="O78" t="s">
        <v>40</v>
      </c>
      <c r="P78" t="s">
        <v>26</v>
      </c>
      <c r="Q78">
        <v>49576</v>
      </c>
    </row>
    <row r="79" spans="1:17" x14ac:dyDescent="0.25">
      <c r="A79" t="s">
        <v>33</v>
      </c>
      <c r="B79" t="s">
        <v>17</v>
      </c>
      <c r="C79" t="s">
        <v>27</v>
      </c>
      <c r="D79">
        <v>31488</v>
      </c>
      <c r="G79" t="s">
        <v>40</v>
      </c>
      <c r="H79" t="s">
        <v>27</v>
      </c>
      <c r="I79">
        <v>369745</v>
      </c>
      <c r="J79">
        <f>SUMIFS(Count_filt,Crime_Category_filt,crime_incidents_za[[#This Row],[Crime Category]],Financial_Year_filt,crime_incidents_za[[#This Row],[Financial Year]])</f>
        <v>369745</v>
      </c>
      <c r="K79">
        <f>ABS(crime_incidents_za[[#This Row],[SumCount]]-crime_incidents_za[[#This Row],[Count]])</f>
        <v>0</v>
      </c>
      <c r="N79" t="s">
        <v>28</v>
      </c>
      <c r="O79" t="s">
        <v>40</v>
      </c>
      <c r="P79" t="s">
        <v>27</v>
      </c>
      <c r="Q79">
        <v>42515</v>
      </c>
    </row>
    <row r="80" spans="1:17" x14ac:dyDescent="0.25">
      <c r="A80" t="s">
        <v>34</v>
      </c>
      <c r="B80" t="s">
        <v>17</v>
      </c>
      <c r="C80" t="s">
        <v>18</v>
      </c>
      <c r="D80">
        <v>36112</v>
      </c>
      <c r="G80" t="s">
        <v>40</v>
      </c>
      <c r="H80" t="s">
        <v>43</v>
      </c>
      <c r="I80">
        <v>362274</v>
      </c>
      <c r="J80">
        <f>SUMIFS(Count_filt,Crime_Category_filt,crime_incidents_za[[#This Row],[Crime Category]],Financial_Year_filt,crime_incidents_za[[#This Row],[Financial Year]])</f>
        <v>362274</v>
      </c>
      <c r="K80">
        <f>ABS(crime_incidents_za[[#This Row],[SumCount]]-crime_incidents_za[[#This Row],[Count]])</f>
        <v>0</v>
      </c>
      <c r="N80" t="s">
        <v>28</v>
      </c>
      <c r="O80" t="s">
        <v>40</v>
      </c>
      <c r="P80" t="s">
        <v>43</v>
      </c>
      <c r="Q80">
        <v>40587</v>
      </c>
    </row>
    <row r="81" spans="1:17" x14ac:dyDescent="0.25">
      <c r="A81" t="s">
        <v>34</v>
      </c>
      <c r="B81" t="s">
        <v>17</v>
      </c>
      <c r="C81" t="s">
        <v>19</v>
      </c>
      <c r="D81">
        <v>36067</v>
      </c>
      <c r="G81" t="s">
        <v>40</v>
      </c>
      <c r="H81" t="s">
        <v>44</v>
      </c>
      <c r="I81">
        <v>377690</v>
      </c>
      <c r="J81">
        <f>SUMIFS(Count_filt,Crime_Category_filt,crime_incidents_za[[#This Row],[Crime Category]],Financial_Year_filt,crime_incidents_za[[#This Row],[Financial Year]])</f>
        <v>377690</v>
      </c>
      <c r="K81">
        <f>ABS(crime_incidents_za[[#This Row],[SumCount]]-crime_incidents_za[[#This Row],[Count]])</f>
        <v>0</v>
      </c>
      <c r="N81" t="s">
        <v>28</v>
      </c>
      <c r="O81" t="s">
        <v>40</v>
      </c>
      <c r="P81" t="s">
        <v>44</v>
      </c>
      <c r="Q81">
        <v>43066</v>
      </c>
    </row>
    <row r="82" spans="1:17" x14ac:dyDescent="0.25">
      <c r="A82" t="s">
        <v>34</v>
      </c>
      <c r="B82" t="s">
        <v>17</v>
      </c>
      <c r="C82" t="s">
        <v>20</v>
      </c>
      <c r="D82">
        <v>34473</v>
      </c>
      <c r="G82" t="s">
        <v>37</v>
      </c>
      <c r="H82" t="s">
        <v>18</v>
      </c>
      <c r="I82">
        <v>60539</v>
      </c>
      <c r="J82">
        <f>SUMIFS(Count_filt,Crime_Category_filt,crime_incidents_za[[#This Row],[Crime Category]],Financial_Year_filt,crime_incidents_za[[#This Row],[Financial Year]])</f>
        <v>60539</v>
      </c>
      <c r="K82">
        <f>ABS(crime_incidents_za[[#This Row],[SumCount]]-crime_incidents_za[[#This Row],[Count]])</f>
        <v>0</v>
      </c>
      <c r="N82" t="s">
        <v>28</v>
      </c>
      <c r="O82" t="s">
        <v>37</v>
      </c>
      <c r="P82" t="s">
        <v>18</v>
      </c>
      <c r="Q82">
        <v>9001</v>
      </c>
    </row>
    <row r="83" spans="1:17" x14ac:dyDescent="0.25">
      <c r="A83" t="s">
        <v>34</v>
      </c>
      <c r="B83" t="s">
        <v>17</v>
      </c>
      <c r="C83" t="s">
        <v>21</v>
      </c>
      <c r="D83">
        <v>35082</v>
      </c>
      <c r="G83" t="s">
        <v>37</v>
      </c>
      <c r="H83" t="s">
        <v>19</v>
      </c>
      <c r="I83">
        <v>60888</v>
      </c>
      <c r="J83">
        <f>SUMIFS(Count_filt,Crime_Category_filt,crime_incidents_za[[#This Row],[Crime Category]],Financial_Year_filt,crime_incidents_za[[#This Row],[Financial Year]])</f>
        <v>60888</v>
      </c>
      <c r="K83">
        <f>ABS(crime_incidents_za[[#This Row],[SumCount]]-crime_incidents_za[[#This Row],[Count]])</f>
        <v>0</v>
      </c>
      <c r="N83" t="s">
        <v>28</v>
      </c>
      <c r="O83" t="s">
        <v>37</v>
      </c>
      <c r="P83" t="s">
        <v>19</v>
      </c>
      <c r="Q83">
        <v>9288</v>
      </c>
    </row>
    <row r="84" spans="1:17" x14ac:dyDescent="0.25">
      <c r="A84" t="s">
        <v>34</v>
      </c>
      <c r="B84" t="s">
        <v>17</v>
      </c>
      <c r="C84" t="s">
        <v>22</v>
      </c>
      <c r="D84">
        <v>35224</v>
      </c>
      <c r="G84" t="s">
        <v>37</v>
      </c>
      <c r="H84" t="s">
        <v>20</v>
      </c>
      <c r="I84">
        <v>56680</v>
      </c>
      <c r="J84">
        <f>SUMIFS(Count_filt,Crime_Category_filt,crime_incidents_za[[#This Row],[Crime Category]],Financial_Year_filt,crime_incidents_za[[#This Row],[Financial Year]])</f>
        <v>56680</v>
      </c>
      <c r="K84">
        <f>ABS(crime_incidents_za[[#This Row],[SumCount]]-crime_incidents_za[[#This Row],[Count]])</f>
        <v>0</v>
      </c>
      <c r="N84" t="s">
        <v>28</v>
      </c>
      <c r="O84" t="s">
        <v>37</v>
      </c>
      <c r="P84" t="s">
        <v>20</v>
      </c>
      <c r="Q84">
        <v>9616</v>
      </c>
    </row>
    <row r="85" spans="1:17" x14ac:dyDescent="0.25">
      <c r="A85" t="s">
        <v>34</v>
      </c>
      <c r="B85" t="s">
        <v>17</v>
      </c>
      <c r="C85" t="s">
        <v>23</v>
      </c>
      <c r="D85">
        <v>35483</v>
      </c>
      <c r="G85" t="s">
        <v>37</v>
      </c>
      <c r="H85" t="s">
        <v>21</v>
      </c>
      <c r="I85">
        <v>53617</v>
      </c>
      <c r="J85">
        <f>SUMIFS(Count_filt,Crime_Category_filt,crime_incidents_za[[#This Row],[Crime Category]],Financial_Year_filt,crime_incidents_za[[#This Row],[Financial Year]])</f>
        <v>53617</v>
      </c>
      <c r="K85">
        <f>ABS(crime_incidents_za[[#This Row],[SumCount]]-crime_incidents_za[[#This Row],[Count]])</f>
        <v>0</v>
      </c>
      <c r="N85" t="s">
        <v>28</v>
      </c>
      <c r="O85" t="s">
        <v>37</v>
      </c>
      <c r="P85" t="s">
        <v>21</v>
      </c>
      <c r="Q85">
        <v>9224</v>
      </c>
    </row>
    <row r="86" spans="1:17" x14ac:dyDescent="0.25">
      <c r="A86" t="s">
        <v>34</v>
      </c>
      <c r="B86" t="s">
        <v>17</v>
      </c>
      <c r="C86" t="s">
        <v>24</v>
      </c>
      <c r="D86">
        <v>36604</v>
      </c>
      <c r="G86" t="s">
        <v>37</v>
      </c>
      <c r="H86" t="s">
        <v>22</v>
      </c>
      <c r="I86">
        <v>51895</v>
      </c>
      <c r="J86">
        <f>SUMIFS(Count_filt,Crime_Category_filt,crime_incidents_za[[#This Row],[Crime Category]],Financial_Year_filt,crime_incidents_za[[#This Row],[Financial Year]])</f>
        <v>51895</v>
      </c>
      <c r="K86">
        <f>ABS(crime_incidents_za[[#This Row],[SumCount]]-crime_incidents_za[[#This Row],[Count]])</f>
        <v>0</v>
      </c>
      <c r="N86" t="s">
        <v>28</v>
      </c>
      <c r="O86" t="s">
        <v>37</v>
      </c>
      <c r="P86" t="s">
        <v>22</v>
      </c>
      <c r="Q86">
        <v>8797</v>
      </c>
    </row>
    <row r="87" spans="1:17" x14ac:dyDescent="0.25">
      <c r="A87" t="s">
        <v>34</v>
      </c>
      <c r="B87" t="s">
        <v>17</v>
      </c>
      <c r="C87" t="s">
        <v>25</v>
      </c>
      <c r="D87">
        <v>37487</v>
      </c>
      <c r="G87" t="s">
        <v>37</v>
      </c>
      <c r="H87" t="s">
        <v>23</v>
      </c>
      <c r="I87">
        <v>49660</v>
      </c>
      <c r="J87">
        <f>SUMIFS(Count_filt,Crime_Category_filt,crime_incidents_za[[#This Row],[Crime Category]],Financial_Year_filt,crime_incidents_za[[#This Row],[Financial Year]])</f>
        <v>49660</v>
      </c>
      <c r="K87">
        <f>ABS(crime_incidents_za[[#This Row],[SumCount]]-crime_incidents_za[[#This Row],[Count]])</f>
        <v>0</v>
      </c>
      <c r="N87" t="s">
        <v>28</v>
      </c>
      <c r="O87" t="s">
        <v>37</v>
      </c>
      <c r="P87" t="s">
        <v>23</v>
      </c>
      <c r="Q87">
        <v>8050</v>
      </c>
    </row>
    <row r="88" spans="1:17" x14ac:dyDescent="0.25">
      <c r="A88" t="s">
        <v>34</v>
      </c>
      <c r="B88" t="s">
        <v>17</v>
      </c>
      <c r="C88" t="s">
        <v>26</v>
      </c>
      <c r="D88">
        <v>36286</v>
      </c>
      <c r="G88" t="s">
        <v>37</v>
      </c>
      <c r="H88" t="s">
        <v>24</v>
      </c>
      <c r="I88">
        <v>50108</v>
      </c>
      <c r="J88">
        <f>SUMIFS(Count_filt,Crime_Category_filt,crime_incidents_za[[#This Row],[Crime Category]],Financial_Year_filt,crime_incidents_za[[#This Row],[Financial Year]])</f>
        <v>50108</v>
      </c>
      <c r="K88">
        <f>ABS(crime_incidents_za[[#This Row],[SumCount]]-crime_incidents_za[[#This Row],[Count]])</f>
        <v>0</v>
      </c>
      <c r="N88" t="s">
        <v>28</v>
      </c>
      <c r="O88" t="s">
        <v>37</v>
      </c>
      <c r="P88" t="s">
        <v>24</v>
      </c>
      <c r="Q88">
        <v>8094</v>
      </c>
    </row>
    <row r="89" spans="1:17" x14ac:dyDescent="0.25">
      <c r="A89" t="s">
        <v>34</v>
      </c>
      <c r="B89" t="s">
        <v>17</v>
      </c>
      <c r="C89" t="s">
        <v>27</v>
      </c>
      <c r="D89">
        <v>31636</v>
      </c>
      <c r="G89" t="s">
        <v>37</v>
      </c>
      <c r="H89" t="s">
        <v>25</v>
      </c>
      <c r="I89">
        <v>52420</v>
      </c>
      <c r="J89">
        <f>SUMIFS(Count_filt,Crime_Category_filt,crime_incidents_za[[#This Row],[Crime Category]],Financial_Year_filt,crime_incidents_za[[#This Row],[Financial Year]])</f>
        <v>52420</v>
      </c>
      <c r="K89">
        <f>ABS(crime_incidents_za[[#This Row],[SumCount]]-crime_incidents_za[[#This Row],[Count]])</f>
        <v>0</v>
      </c>
      <c r="N89" t="s">
        <v>28</v>
      </c>
      <c r="O89" t="s">
        <v>37</v>
      </c>
      <c r="P89" t="s">
        <v>25</v>
      </c>
      <c r="Q89">
        <v>8731</v>
      </c>
    </row>
    <row r="90" spans="1:17" x14ac:dyDescent="0.25">
      <c r="A90" t="s">
        <v>35</v>
      </c>
      <c r="B90" t="s">
        <v>17</v>
      </c>
      <c r="C90" t="s">
        <v>18</v>
      </c>
      <c r="D90">
        <v>18038</v>
      </c>
      <c r="G90" t="s">
        <v>37</v>
      </c>
      <c r="H90" t="s">
        <v>26</v>
      </c>
      <c r="I90">
        <v>53293</v>
      </c>
      <c r="J90">
        <f>SUMIFS(Count_filt,Crime_Category_filt,crime_incidents_za[[#This Row],[Crime Category]],Financial_Year_filt,crime_incidents_za[[#This Row],[Financial Year]])</f>
        <v>53293</v>
      </c>
      <c r="K90">
        <f>ABS(crime_incidents_za[[#This Row],[SumCount]]-crime_incidents_za[[#This Row],[Count]])</f>
        <v>0</v>
      </c>
      <c r="N90" t="s">
        <v>28</v>
      </c>
      <c r="O90" t="s">
        <v>37</v>
      </c>
      <c r="P90" t="s">
        <v>26</v>
      </c>
      <c r="Q90">
        <v>8708</v>
      </c>
    </row>
    <row r="91" spans="1:17" x14ac:dyDescent="0.25">
      <c r="A91" t="s">
        <v>35</v>
      </c>
      <c r="B91" t="s">
        <v>17</v>
      </c>
      <c r="C91" t="s">
        <v>19</v>
      </c>
      <c r="D91">
        <v>18649</v>
      </c>
      <c r="G91" t="s">
        <v>37</v>
      </c>
      <c r="H91" t="s">
        <v>27</v>
      </c>
      <c r="I91">
        <v>46214</v>
      </c>
      <c r="J91">
        <f>SUMIFS(Count_filt,Crime_Category_filt,crime_incidents_za[[#This Row],[Crime Category]],Financial_Year_filt,crime_incidents_za[[#This Row],[Financial Year]])</f>
        <v>46214</v>
      </c>
      <c r="K91">
        <f>ABS(crime_incidents_za[[#This Row],[SumCount]]-crime_incidents_za[[#This Row],[Count]])</f>
        <v>0</v>
      </c>
      <c r="N91" t="s">
        <v>28</v>
      </c>
      <c r="O91" t="s">
        <v>37</v>
      </c>
      <c r="P91" t="s">
        <v>27</v>
      </c>
      <c r="Q91">
        <v>7445</v>
      </c>
    </row>
    <row r="92" spans="1:17" x14ac:dyDescent="0.25">
      <c r="A92" t="s">
        <v>35</v>
      </c>
      <c r="B92" t="s">
        <v>17</v>
      </c>
      <c r="C92" t="s">
        <v>20</v>
      </c>
      <c r="D92">
        <v>18943</v>
      </c>
      <c r="G92" t="s">
        <v>37</v>
      </c>
      <c r="H92" t="s">
        <v>43</v>
      </c>
      <c r="I92">
        <v>52694</v>
      </c>
      <c r="J92">
        <f>SUMIFS(Count_filt,Crime_Category_filt,crime_incidents_za[[#This Row],[Crime Category]],Financial_Year_filt,crime_incidents_za[[#This Row],[Financial Year]])</f>
        <v>52694</v>
      </c>
      <c r="K92">
        <f>ABS(crime_incidents_za[[#This Row],[SumCount]]-crime_incidents_za[[#This Row],[Count]])</f>
        <v>0</v>
      </c>
      <c r="N92" t="s">
        <v>28</v>
      </c>
      <c r="O92" t="s">
        <v>37</v>
      </c>
      <c r="P92" t="s">
        <v>43</v>
      </c>
      <c r="Q92">
        <v>8404</v>
      </c>
    </row>
    <row r="93" spans="1:17" x14ac:dyDescent="0.25">
      <c r="A93" t="s">
        <v>35</v>
      </c>
      <c r="B93" t="s">
        <v>17</v>
      </c>
      <c r="C93" t="s">
        <v>21</v>
      </c>
      <c r="D93">
        <v>18877</v>
      </c>
      <c r="G93" t="s">
        <v>37</v>
      </c>
      <c r="H93" t="s">
        <v>44</v>
      </c>
      <c r="I93">
        <v>53888</v>
      </c>
      <c r="J93">
        <f>SUMIFS(Count_filt,Crime_Category_filt,crime_incidents_za[[#This Row],[Crime Category]],Financial_Year_filt,crime_incidents_za[[#This Row],[Financial Year]])</f>
        <v>53888</v>
      </c>
      <c r="K93">
        <f>ABS(crime_incidents_za[[#This Row],[SumCount]]-crime_incidents_za[[#This Row],[Count]])</f>
        <v>0</v>
      </c>
      <c r="N93" t="s">
        <v>28</v>
      </c>
      <c r="O93" t="s">
        <v>37</v>
      </c>
      <c r="P93" t="s">
        <v>44</v>
      </c>
      <c r="Q93">
        <v>8361</v>
      </c>
    </row>
    <row r="94" spans="1:17" x14ac:dyDescent="0.25">
      <c r="A94" t="s">
        <v>35</v>
      </c>
      <c r="B94" t="s">
        <v>17</v>
      </c>
      <c r="C94" t="s">
        <v>22</v>
      </c>
      <c r="D94">
        <v>18971</v>
      </c>
      <c r="N94" t="s">
        <v>29</v>
      </c>
      <c r="O94" t="s">
        <v>38</v>
      </c>
      <c r="P94" t="s">
        <v>18</v>
      </c>
      <c r="Q94">
        <v>5323</v>
      </c>
    </row>
    <row r="95" spans="1:17" x14ac:dyDescent="0.25">
      <c r="A95" t="s">
        <v>35</v>
      </c>
      <c r="B95" t="s">
        <v>17</v>
      </c>
      <c r="C95" t="s">
        <v>23</v>
      </c>
      <c r="D95">
        <v>18105</v>
      </c>
      <c r="N95" t="s">
        <v>29</v>
      </c>
      <c r="O95" t="s">
        <v>38</v>
      </c>
      <c r="P95" t="s">
        <v>19</v>
      </c>
      <c r="Q95">
        <v>5791</v>
      </c>
    </row>
    <row r="96" spans="1:17" x14ac:dyDescent="0.25">
      <c r="A96" t="s">
        <v>35</v>
      </c>
      <c r="B96" t="s">
        <v>17</v>
      </c>
      <c r="C96" t="s">
        <v>24</v>
      </c>
      <c r="D96">
        <v>17380</v>
      </c>
      <c r="N96" t="s">
        <v>29</v>
      </c>
      <c r="O96" t="s">
        <v>38</v>
      </c>
      <c r="P96" t="s">
        <v>20</v>
      </c>
      <c r="Q96">
        <v>5347</v>
      </c>
    </row>
    <row r="97" spans="1:17" x14ac:dyDescent="0.25">
      <c r="A97" t="s">
        <v>35</v>
      </c>
      <c r="B97" t="s">
        <v>17</v>
      </c>
      <c r="C97" t="s">
        <v>25</v>
      </c>
      <c r="D97">
        <v>17891</v>
      </c>
      <c r="N97" t="s">
        <v>29</v>
      </c>
      <c r="O97" t="s">
        <v>38</v>
      </c>
      <c r="P97" t="s">
        <v>21</v>
      </c>
      <c r="Q97">
        <v>5239</v>
      </c>
    </row>
    <row r="98" spans="1:17" x14ac:dyDescent="0.25">
      <c r="A98" t="s">
        <v>35</v>
      </c>
      <c r="B98" t="s">
        <v>17</v>
      </c>
      <c r="C98" t="s">
        <v>26</v>
      </c>
      <c r="D98">
        <v>17591</v>
      </c>
      <c r="N98" t="s">
        <v>29</v>
      </c>
      <c r="O98" t="s">
        <v>38</v>
      </c>
      <c r="P98" t="s">
        <v>22</v>
      </c>
      <c r="Q98">
        <v>4778</v>
      </c>
    </row>
    <row r="99" spans="1:17" x14ac:dyDescent="0.25">
      <c r="A99" t="s">
        <v>35</v>
      </c>
      <c r="B99" t="s">
        <v>17</v>
      </c>
      <c r="C99" t="s">
        <v>27</v>
      </c>
      <c r="D99">
        <v>15309</v>
      </c>
      <c r="N99" t="s">
        <v>29</v>
      </c>
      <c r="O99" t="s">
        <v>38</v>
      </c>
      <c r="P99" t="s">
        <v>23</v>
      </c>
      <c r="Q99">
        <v>5147</v>
      </c>
    </row>
    <row r="100" spans="1:17" x14ac:dyDescent="0.25">
      <c r="A100" t="s">
        <v>36</v>
      </c>
      <c r="B100" t="s">
        <v>17</v>
      </c>
      <c r="C100" t="s">
        <v>18</v>
      </c>
      <c r="D100">
        <v>97301</v>
      </c>
      <c r="N100" t="s">
        <v>29</v>
      </c>
      <c r="O100" t="s">
        <v>38</v>
      </c>
      <c r="P100" t="s">
        <v>24</v>
      </c>
      <c r="Q100">
        <v>5032</v>
      </c>
    </row>
    <row r="101" spans="1:17" x14ac:dyDescent="0.25">
      <c r="A101" t="s">
        <v>36</v>
      </c>
      <c r="B101" t="s">
        <v>17</v>
      </c>
      <c r="C101" t="s">
        <v>19</v>
      </c>
      <c r="D101">
        <v>103346</v>
      </c>
      <c r="N101" t="s">
        <v>29</v>
      </c>
      <c r="O101" t="s">
        <v>38</v>
      </c>
      <c r="P101" t="s">
        <v>25</v>
      </c>
      <c r="Q101">
        <v>5339</v>
      </c>
    </row>
    <row r="102" spans="1:17" x14ac:dyDescent="0.25">
      <c r="A102" t="s">
        <v>36</v>
      </c>
      <c r="B102" t="s">
        <v>17</v>
      </c>
      <c r="C102" t="s">
        <v>20</v>
      </c>
      <c r="D102">
        <v>108589</v>
      </c>
      <c r="N102" t="s">
        <v>29</v>
      </c>
      <c r="O102" t="s">
        <v>38</v>
      </c>
      <c r="P102" t="s">
        <v>26</v>
      </c>
      <c r="Q102">
        <v>5119</v>
      </c>
    </row>
    <row r="103" spans="1:17" x14ac:dyDescent="0.25">
      <c r="A103" t="s">
        <v>36</v>
      </c>
      <c r="B103" t="s">
        <v>17</v>
      </c>
      <c r="C103" t="s">
        <v>21</v>
      </c>
      <c r="D103">
        <v>116168</v>
      </c>
      <c r="N103" t="s">
        <v>29</v>
      </c>
      <c r="O103" t="s">
        <v>38</v>
      </c>
      <c r="P103" t="s">
        <v>27</v>
      </c>
      <c r="Q103">
        <v>3992</v>
      </c>
    </row>
    <row r="104" spans="1:17" x14ac:dyDescent="0.25">
      <c r="A104" t="s">
        <v>36</v>
      </c>
      <c r="B104" t="s">
        <v>17</v>
      </c>
      <c r="C104" t="s">
        <v>22</v>
      </c>
      <c r="D104">
        <v>116858</v>
      </c>
      <c r="N104" t="s">
        <v>29</v>
      </c>
      <c r="O104" t="s">
        <v>38</v>
      </c>
      <c r="P104" t="s">
        <v>43</v>
      </c>
      <c r="Q104">
        <v>1876</v>
      </c>
    </row>
    <row r="105" spans="1:17" x14ac:dyDescent="0.25">
      <c r="A105" t="s">
        <v>36</v>
      </c>
      <c r="B105" t="s">
        <v>17</v>
      </c>
      <c r="C105" t="s">
        <v>23</v>
      </c>
      <c r="D105">
        <v>114704</v>
      </c>
      <c r="N105" t="s">
        <v>29</v>
      </c>
      <c r="O105" t="s">
        <v>38</v>
      </c>
      <c r="P105" t="s">
        <v>44</v>
      </c>
      <c r="Q105">
        <v>1838</v>
      </c>
    </row>
    <row r="106" spans="1:17" x14ac:dyDescent="0.25">
      <c r="A106" t="s">
        <v>36</v>
      </c>
      <c r="B106" t="s">
        <v>17</v>
      </c>
      <c r="C106" t="s">
        <v>24</v>
      </c>
      <c r="D106">
        <v>112996</v>
      </c>
      <c r="N106" t="s">
        <v>29</v>
      </c>
      <c r="O106" t="s">
        <v>17</v>
      </c>
      <c r="P106" t="s">
        <v>18</v>
      </c>
      <c r="Q106">
        <v>47486</v>
      </c>
    </row>
    <row r="107" spans="1:17" x14ac:dyDescent="0.25">
      <c r="A107" t="s">
        <v>36</v>
      </c>
      <c r="B107" t="s">
        <v>17</v>
      </c>
      <c r="C107" t="s">
        <v>25</v>
      </c>
      <c r="D107">
        <v>113987</v>
      </c>
      <c r="N107" t="s">
        <v>29</v>
      </c>
      <c r="O107" t="s">
        <v>17</v>
      </c>
      <c r="P107" t="s">
        <v>19</v>
      </c>
      <c r="Q107">
        <v>48480</v>
      </c>
    </row>
    <row r="108" spans="1:17" x14ac:dyDescent="0.25">
      <c r="A108" t="s">
        <v>36</v>
      </c>
      <c r="B108" t="s">
        <v>17</v>
      </c>
      <c r="C108" t="s">
        <v>26</v>
      </c>
      <c r="D108">
        <v>113508</v>
      </c>
      <c r="N108" t="s">
        <v>29</v>
      </c>
      <c r="O108" t="s">
        <v>17</v>
      </c>
      <c r="P108" t="s">
        <v>20</v>
      </c>
      <c r="Q108">
        <v>45945</v>
      </c>
    </row>
    <row r="109" spans="1:17" x14ac:dyDescent="0.25">
      <c r="A109" t="s">
        <v>36</v>
      </c>
      <c r="B109" t="s">
        <v>17</v>
      </c>
      <c r="C109" t="s">
        <v>27</v>
      </c>
      <c r="D109">
        <v>94141</v>
      </c>
      <c r="N109" t="s">
        <v>29</v>
      </c>
      <c r="O109" t="s">
        <v>17</v>
      </c>
      <c r="P109" t="s">
        <v>21</v>
      </c>
      <c r="Q109">
        <v>42314</v>
      </c>
    </row>
    <row r="110" spans="1:17" x14ac:dyDescent="0.25">
      <c r="A110" t="s">
        <v>16</v>
      </c>
      <c r="B110" t="s">
        <v>37</v>
      </c>
      <c r="C110" t="s">
        <v>18</v>
      </c>
      <c r="D110">
        <v>60539</v>
      </c>
      <c r="N110" t="s">
        <v>29</v>
      </c>
      <c r="O110" t="s">
        <v>17</v>
      </c>
      <c r="P110" t="s">
        <v>22</v>
      </c>
      <c r="Q110">
        <v>41100</v>
      </c>
    </row>
    <row r="111" spans="1:17" x14ac:dyDescent="0.25">
      <c r="A111" t="s">
        <v>16</v>
      </c>
      <c r="B111" t="s">
        <v>37</v>
      </c>
      <c r="C111" t="s">
        <v>19</v>
      </c>
      <c r="D111">
        <v>60888</v>
      </c>
      <c r="N111" t="s">
        <v>29</v>
      </c>
      <c r="O111" t="s">
        <v>17</v>
      </c>
      <c r="P111" t="s">
        <v>23</v>
      </c>
      <c r="Q111">
        <v>37741</v>
      </c>
    </row>
    <row r="112" spans="1:17" x14ac:dyDescent="0.25">
      <c r="A112" t="s">
        <v>16</v>
      </c>
      <c r="B112" t="s">
        <v>37</v>
      </c>
      <c r="C112" t="s">
        <v>20</v>
      </c>
      <c r="D112">
        <v>56680</v>
      </c>
      <c r="N112" t="s">
        <v>29</v>
      </c>
      <c r="O112" t="s">
        <v>17</v>
      </c>
      <c r="P112" t="s">
        <v>24</v>
      </c>
      <c r="Q112">
        <v>35725</v>
      </c>
    </row>
    <row r="113" spans="1:17" x14ac:dyDescent="0.25">
      <c r="A113" t="s">
        <v>16</v>
      </c>
      <c r="B113" t="s">
        <v>37</v>
      </c>
      <c r="C113" t="s">
        <v>21</v>
      </c>
      <c r="D113">
        <v>53617</v>
      </c>
      <c r="N113" t="s">
        <v>29</v>
      </c>
      <c r="O113" t="s">
        <v>17</v>
      </c>
      <c r="P113" t="s">
        <v>25</v>
      </c>
      <c r="Q113">
        <v>36879</v>
      </c>
    </row>
    <row r="114" spans="1:17" x14ac:dyDescent="0.25">
      <c r="A114" t="s">
        <v>16</v>
      </c>
      <c r="B114" t="s">
        <v>37</v>
      </c>
      <c r="C114" t="s">
        <v>22</v>
      </c>
      <c r="D114">
        <v>51895</v>
      </c>
      <c r="N114" t="s">
        <v>29</v>
      </c>
      <c r="O114" t="s">
        <v>17</v>
      </c>
      <c r="P114" t="s">
        <v>26</v>
      </c>
      <c r="Q114">
        <v>36059</v>
      </c>
    </row>
    <row r="115" spans="1:17" x14ac:dyDescent="0.25">
      <c r="A115" t="s">
        <v>16</v>
      </c>
      <c r="B115" t="s">
        <v>37</v>
      </c>
      <c r="C115" t="s">
        <v>23</v>
      </c>
      <c r="D115">
        <v>49660</v>
      </c>
      <c r="N115" t="s">
        <v>29</v>
      </c>
      <c r="O115" t="s">
        <v>17</v>
      </c>
      <c r="P115" t="s">
        <v>27</v>
      </c>
      <c r="Q115">
        <v>31668</v>
      </c>
    </row>
    <row r="116" spans="1:17" x14ac:dyDescent="0.25">
      <c r="A116" t="s">
        <v>16</v>
      </c>
      <c r="B116" t="s">
        <v>37</v>
      </c>
      <c r="C116" t="s">
        <v>24</v>
      </c>
      <c r="D116">
        <v>50108</v>
      </c>
      <c r="N116" t="s">
        <v>29</v>
      </c>
      <c r="O116" t="s">
        <v>17</v>
      </c>
      <c r="P116" t="s">
        <v>43</v>
      </c>
      <c r="Q116">
        <v>36356</v>
      </c>
    </row>
    <row r="117" spans="1:17" x14ac:dyDescent="0.25">
      <c r="A117" t="s">
        <v>16</v>
      </c>
      <c r="B117" t="s">
        <v>37</v>
      </c>
      <c r="C117" t="s">
        <v>25</v>
      </c>
      <c r="D117">
        <v>52420</v>
      </c>
      <c r="N117" t="s">
        <v>29</v>
      </c>
      <c r="O117" t="s">
        <v>17</v>
      </c>
      <c r="P117" t="s">
        <v>44</v>
      </c>
      <c r="Q117">
        <v>39829</v>
      </c>
    </row>
    <row r="118" spans="1:17" x14ac:dyDescent="0.25">
      <c r="A118" t="s">
        <v>16</v>
      </c>
      <c r="B118" t="s">
        <v>37</v>
      </c>
      <c r="C118" t="s">
        <v>26</v>
      </c>
      <c r="D118">
        <v>53293</v>
      </c>
      <c r="N118" t="s">
        <v>29</v>
      </c>
      <c r="O118" t="s">
        <v>39</v>
      </c>
      <c r="P118" t="s">
        <v>18</v>
      </c>
      <c r="Q118">
        <v>9134</v>
      </c>
    </row>
    <row r="119" spans="1:17" x14ac:dyDescent="0.25">
      <c r="A119" t="s">
        <v>16</v>
      </c>
      <c r="B119" t="s">
        <v>37</v>
      </c>
      <c r="C119" t="s">
        <v>27</v>
      </c>
      <c r="D119">
        <v>46214</v>
      </c>
      <c r="N119" t="s">
        <v>29</v>
      </c>
      <c r="O119" t="s">
        <v>39</v>
      </c>
      <c r="P119" t="s">
        <v>19</v>
      </c>
      <c r="Q119">
        <v>9147</v>
      </c>
    </row>
    <row r="120" spans="1:17" x14ac:dyDescent="0.25">
      <c r="A120" t="s">
        <v>28</v>
      </c>
      <c r="B120" t="s">
        <v>37</v>
      </c>
      <c r="C120" t="s">
        <v>18</v>
      </c>
      <c r="D120">
        <v>9001</v>
      </c>
      <c r="N120" t="s">
        <v>29</v>
      </c>
      <c r="O120" t="s">
        <v>39</v>
      </c>
      <c r="P120" t="s">
        <v>20</v>
      </c>
      <c r="Q120">
        <v>8424</v>
      </c>
    </row>
    <row r="121" spans="1:17" x14ac:dyDescent="0.25">
      <c r="A121" t="s">
        <v>28</v>
      </c>
      <c r="B121" t="s">
        <v>37</v>
      </c>
      <c r="C121" t="s">
        <v>19</v>
      </c>
      <c r="D121">
        <v>9288</v>
      </c>
      <c r="N121" t="s">
        <v>29</v>
      </c>
      <c r="O121" t="s">
        <v>39</v>
      </c>
      <c r="P121" t="s">
        <v>21</v>
      </c>
      <c r="Q121">
        <v>7942</v>
      </c>
    </row>
    <row r="122" spans="1:17" x14ac:dyDescent="0.25">
      <c r="A122" t="s">
        <v>28</v>
      </c>
      <c r="B122" t="s">
        <v>37</v>
      </c>
      <c r="C122" t="s">
        <v>20</v>
      </c>
      <c r="D122">
        <v>9616</v>
      </c>
      <c r="N122" t="s">
        <v>29</v>
      </c>
      <c r="O122" t="s">
        <v>39</v>
      </c>
      <c r="P122" t="s">
        <v>22</v>
      </c>
      <c r="Q122">
        <v>7816</v>
      </c>
    </row>
    <row r="123" spans="1:17" x14ac:dyDescent="0.25">
      <c r="A123" t="s">
        <v>28</v>
      </c>
      <c r="B123" t="s">
        <v>37</v>
      </c>
      <c r="C123" t="s">
        <v>21</v>
      </c>
      <c r="D123">
        <v>9224</v>
      </c>
      <c r="N123" t="s">
        <v>29</v>
      </c>
      <c r="O123" t="s">
        <v>39</v>
      </c>
      <c r="P123" t="s">
        <v>23</v>
      </c>
      <c r="Q123">
        <v>6838</v>
      </c>
    </row>
    <row r="124" spans="1:17" x14ac:dyDescent="0.25">
      <c r="A124" t="s">
        <v>28</v>
      </c>
      <c r="B124" t="s">
        <v>37</v>
      </c>
      <c r="C124" t="s">
        <v>22</v>
      </c>
      <c r="D124">
        <v>8797</v>
      </c>
      <c r="N124" t="s">
        <v>29</v>
      </c>
      <c r="O124" t="s">
        <v>39</v>
      </c>
      <c r="P124" t="s">
        <v>24</v>
      </c>
      <c r="Q124">
        <v>6232</v>
      </c>
    </row>
    <row r="125" spans="1:17" x14ac:dyDescent="0.25">
      <c r="A125" t="s">
        <v>28</v>
      </c>
      <c r="B125" t="s">
        <v>37</v>
      </c>
      <c r="C125" t="s">
        <v>23</v>
      </c>
      <c r="D125">
        <v>8050</v>
      </c>
      <c r="N125" t="s">
        <v>29</v>
      </c>
      <c r="O125" t="s">
        <v>39</v>
      </c>
      <c r="P125" t="s">
        <v>25</v>
      </c>
      <c r="Q125">
        <v>6116</v>
      </c>
    </row>
    <row r="126" spans="1:17" x14ac:dyDescent="0.25">
      <c r="A126" t="s">
        <v>28</v>
      </c>
      <c r="B126" t="s">
        <v>37</v>
      </c>
      <c r="C126" t="s">
        <v>24</v>
      </c>
      <c r="D126">
        <v>8094</v>
      </c>
      <c r="N126" t="s">
        <v>29</v>
      </c>
      <c r="O126" t="s">
        <v>39</v>
      </c>
      <c r="P126" t="s">
        <v>26</v>
      </c>
      <c r="Q126">
        <v>5740</v>
      </c>
    </row>
    <row r="127" spans="1:17" x14ac:dyDescent="0.25">
      <c r="A127" t="s">
        <v>28</v>
      </c>
      <c r="B127" t="s">
        <v>37</v>
      </c>
      <c r="C127" t="s">
        <v>25</v>
      </c>
      <c r="D127">
        <v>8731</v>
      </c>
      <c r="N127" t="s">
        <v>29</v>
      </c>
      <c r="O127" t="s">
        <v>39</v>
      </c>
      <c r="P127" t="s">
        <v>27</v>
      </c>
      <c r="Q127">
        <v>5769</v>
      </c>
    </row>
    <row r="128" spans="1:17" x14ac:dyDescent="0.25">
      <c r="A128" t="s">
        <v>28</v>
      </c>
      <c r="B128" t="s">
        <v>37</v>
      </c>
      <c r="C128" t="s">
        <v>26</v>
      </c>
      <c r="D128">
        <v>8708</v>
      </c>
      <c r="N128" t="s">
        <v>29</v>
      </c>
      <c r="O128" t="s">
        <v>39</v>
      </c>
      <c r="P128" t="s">
        <v>43</v>
      </c>
      <c r="Q128">
        <v>6806</v>
      </c>
    </row>
    <row r="129" spans="1:17" x14ac:dyDescent="0.25">
      <c r="A129" t="s">
        <v>28</v>
      </c>
      <c r="B129" t="s">
        <v>37</v>
      </c>
      <c r="C129" t="s">
        <v>27</v>
      </c>
      <c r="D129">
        <v>7445</v>
      </c>
      <c r="N129" t="s">
        <v>29</v>
      </c>
      <c r="O129" t="s">
        <v>39</v>
      </c>
      <c r="P129" t="s">
        <v>44</v>
      </c>
      <c r="Q129">
        <v>7123</v>
      </c>
    </row>
    <row r="130" spans="1:17" x14ac:dyDescent="0.25">
      <c r="A130" t="s">
        <v>29</v>
      </c>
      <c r="B130" t="s">
        <v>37</v>
      </c>
      <c r="C130" t="s">
        <v>18</v>
      </c>
      <c r="D130">
        <v>4785</v>
      </c>
      <c r="N130" t="s">
        <v>29</v>
      </c>
      <c r="O130" t="s">
        <v>42</v>
      </c>
      <c r="P130" t="s">
        <v>18</v>
      </c>
      <c r="Q130">
        <v>6356</v>
      </c>
    </row>
    <row r="131" spans="1:17" x14ac:dyDescent="0.25">
      <c r="A131" t="s">
        <v>29</v>
      </c>
      <c r="B131" t="s">
        <v>37</v>
      </c>
      <c r="C131" t="s">
        <v>19</v>
      </c>
      <c r="D131">
        <v>5098</v>
      </c>
      <c r="N131" t="s">
        <v>29</v>
      </c>
      <c r="O131" t="s">
        <v>42</v>
      </c>
      <c r="P131" t="s">
        <v>19</v>
      </c>
      <c r="Q131">
        <v>8334</v>
      </c>
    </row>
    <row r="132" spans="1:17" x14ac:dyDescent="0.25">
      <c r="A132" t="s">
        <v>29</v>
      </c>
      <c r="B132" t="s">
        <v>37</v>
      </c>
      <c r="C132" t="s">
        <v>20</v>
      </c>
      <c r="D132">
        <v>4584</v>
      </c>
      <c r="N132" t="s">
        <v>29</v>
      </c>
      <c r="O132" t="s">
        <v>42</v>
      </c>
      <c r="P132" t="s">
        <v>20</v>
      </c>
      <c r="Q132">
        <v>10570</v>
      </c>
    </row>
    <row r="133" spans="1:17" x14ac:dyDescent="0.25">
      <c r="A133" t="s">
        <v>29</v>
      </c>
      <c r="B133" t="s">
        <v>37</v>
      </c>
      <c r="C133" t="s">
        <v>21</v>
      </c>
      <c r="D133">
        <v>4094</v>
      </c>
      <c r="N133" t="s">
        <v>29</v>
      </c>
      <c r="O133" t="s">
        <v>42</v>
      </c>
      <c r="P133" t="s">
        <v>21</v>
      </c>
      <c r="Q133">
        <v>11387</v>
      </c>
    </row>
    <row r="134" spans="1:17" x14ac:dyDescent="0.25">
      <c r="A134" t="s">
        <v>29</v>
      </c>
      <c r="B134" t="s">
        <v>37</v>
      </c>
      <c r="C134" t="s">
        <v>22</v>
      </c>
      <c r="D134">
        <v>3928</v>
      </c>
      <c r="N134" t="s">
        <v>29</v>
      </c>
      <c r="O134" t="s">
        <v>42</v>
      </c>
      <c r="P134" t="s">
        <v>22</v>
      </c>
      <c r="Q134">
        <v>12791</v>
      </c>
    </row>
    <row r="135" spans="1:17" x14ac:dyDescent="0.25">
      <c r="A135" t="s">
        <v>29</v>
      </c>
      <c r="B135" t="s">
        <v>37</v>
      </c>
      <c r="C135" t="s">
        <v>23</v>
      </c>
      <c r="D135">
        <v>3488</v>
      </c>
      <c r="N135" t="s">
        <v>29</v>
      </c>
      <c r="O135" t="s">
        <v>42</v>
      </c>
      <c r="P135" t="s">
        <v>23</v>
      </c>
      <c r="Q135">
        <v>15015</v>
      </c>
    </row>
    <row r="136" spans="1:17" x14ac:dyDescent="0.25">
      <c r="A136" t="s">
        <v>29</v>
      </c>
      <c r="B136" t="s">
        <v>37</v>
      </c>
      <c r="C136" t="s">
        <v>24</v>
      </c>
      <c r="D136">
        <v>3284</v>
      </c>
      <c r="N136" t="s">
        <v>29</v>
      </c>
      <c r="O136" t="s">
        <v>42</v>
      </c>
      <c r="P136" t="s">
        <v>24</v>
      </c>
      <c r="Q136">
        <v>16011</v>
      </c>
    </row>
    <row r="137" spans="1:17" x14ac:dyDescent="0.25">
      <c r="A137" t="s">
        <v>29</v>
      </c>
      <c r="B137" t="s">
        <v>37</v>
      </c>
      <c r="C137" t="s">
        <v>25</v>
      </c>
      <c r="D137">
        <v>3457</v>
      </c>
      <c r="N137" t="s">
        <v>29</v>
      </c>
      <c r="O137" t="s">
        <v>42</v>
      </c>
      <c r="P137" t="s">
        <v>25</v>
      </c>
      <c r="Q137">
        <v>11907</v>
      </c>
    </row>
    <row r="138" spans="1:17" x14ac:dyDescent="0.25">
      <c r="A138" t="s">
        <v>29</v>
      </c>
      <c r="B138" t="s">
        <v>37</v>
      </c>
      <c r="C138" t="s">
        <v>26</v>
      </c>
      <c r="D138">
        <v>3746</v>
      </c>
      <c r="N138" t="s">
        <v>29</v>
      </c>
      <c r="O138" t="s">
        <v>42</v>
      </c>
      <c r="P138" t="s">
        <v>26</v>
      </c>
      <c r="Q138">
        <v>8313</v>
      </c>
    </row>
    <row r="139" spans="1:17" x14ac:dyDescent="0.25">
      <c r="A139" t="s">
        <v>29</v>
      </c>
      <c r="B139" t="s">
        <v>37</v>
      </c>
      <c r="C139" t="s">
        <v>27</v>
      </c>
      <c r="D139">
        <v>2971</v>
      </c>
      <c r="N139" t="s">
        <v>29</v>
      </c>
      <c r="O139" t="s">
        <v>42</v>
      </c>
      <c r="P139" t="s">
        <v>27</v>
      </c>
      <c r="Q139">
        <v>6251</v>
      </c>
    </row>
    <row r="140" spans="1:17" x14ac:dyDescent="0.25">
      <c r="A140" t="s">
        <v>30</v>
      </c>
      <c r="B140" t="s">
        <v>37</v>
      </c>
      <c r="C140" t="s">
        <v>18</v>
      </c>
      <c r="D140">
        <v>11512</v>
      </c>
      <c r="N140" t="s">
        <v>29</v>
      </c>
      <c r="O140" t="s">
        <v>42</v>
      </c>
      <c r="P140" t="s">
        <v>43</v>
      </c>
      <c r="Q140">
        <v>7759</v>
      </c>
    </row>
    <row r="141" spans="1:17" x14ac:dyDescent="0.25">
      <c r="A141" t="s">
        <v>30</v>
      </c>
      <c r="B141" t="s">
        <v>37</v>
      </c>
      <c r="C141" t="s">
        <v>19</v>
      </c>
      <c r="D141">
        <v>11113</v>
      </c>
      <c r="N141" t="s">
        <v>29</v>
      </c>
      <c r="O141" t="s">
        <v>42</v>
      </c>
      <c r="P141" t="s">
        <v>44</v>
      </c>
      <c r="Q141">
        <v>9816</v>
      </c>
    </row>
    <row r="142" spans="1:17" x14ac:dyDescent="0.25">
      <c r="A142" t="s">
        <v>30</v>
      </c>
      <c r="B142" t="s">
        <v>37</v>
      </c>
      <c r="C142" t="s">
        <v>20</v>
      </c>
      <c r="D142">
        <v>10264</v>
      </c>
      <c r="N142" t="s">
        <v>29</v>
      </c>
      <c r="O142" t="s">
        <v>41</v>
      </c>
      <c r="P142" t="s">
        <v>18</v>
      </c>
      <c r="Q142">
        <v>29529</v>
      </c>
    </row>
    <row r="143" spans="1:17" x14ac:dyDescent="0.25">
      <c r="A143" t="s">
        <v>30</v>
      </c>
      <c r="B143" t="s">
        <v>37</v>
      </c>
      <c r="C143" t="s">
        <v>21</v>
      </c>
      <c r="D143">
        <v>9902</v>
      </c>
      <c r="N143" t="s">
        <v>29</v>
      </c>
      <c r="O143" t="s">
        <v>41</v>
      </c>
      <c r="P143" t="s">
        <v>19</v>
      </c>
      <c r="Q143">
        <v>28736</v>
      </c>
    </row>
    <row r="144" spans="1:17" x14ac:dyDescent="0.25">
      <c r="A144" t="s">
        <v>30</v>
      </c>
      <c r="B144" t="s">
        <v>37</v>
      </c>
      <c r="C144" t="s">
        <v>22</v>
      </c>
      <c r="D144">
        <v>9510</v>
      </c>
      <c r="N144" t="s">
        <v>29</v>
      </c>
      <c r="O144" t="s">
        <v>41</v>
      </c>
      <c r="P144" t="s">
        <v>20</v>
      </c>
      <c r="Q144">
        <v>26042</v>
      </c>
    </row>
    <row r="145" spans="1:17" x14ac:dyDescent="0.25">
      <c r="A145" t="s">
        <v>30</v>
      </c>
      <c r="B145" t="s">
        <v>37</v>
      </c>
      <c r="C145" t="s">
        <v>23</v>
      </c>
      <c r="D145">
        <v>9566</v>
      </c>
      <c r="N145" t="s">
        <v>29</v>
      </c>
      <c r="O145" t="s">
        <v>41</v>
      </c>
      <c r="P145" t="s">
        <v>21</v>
      </c>
      <c r="Q145">
        <v>24134</v>
      </c>
    </row>
    <row r="146" spans="1:17" x14ac:dyDescent="0.25">
      <c r="A146" t="s">
        <v>30</v>
      </c>
      <c r="B146" t="s">
        <v>37</v>
      </c>
      <c r="C146" t="s">
        <v>24</v>
      </c>
      <c r="D146">
        <v>10116</v>
      </c>
      <c r="N146" t="s">
        <v>29</v>
      </c>
      <c r="O146" t="s">
        <v>41</v>
      </c>
      <c r="P146" t="s">
        <v>22</v>
      </c>
      <c r="Q146">
        <v>23502</v>
      </c>
    </row>
    <row r="147" spans="1:17" x14ac:dyDescent="0.25">
      <c r="A147" t="s">
        <v>30</v>
      </c>
      <c r="B147" t="s">
        <v>37</v>
      </c>
      <c r="C147" t="s">
        <v>25</v>
      </c>
      <c r="D147">
        <v>10752</v>
      </c>
      <c r="N147" t="s">
        <v>29</v>
      </c>
      <c r="O147" t="s">
        <v>41</v>
      </c>
      <c r="P147" t="s">
        <v>23</v>
      </c>
      <c r="Q147">
        <v>23348</v>
      </c>
    </row>
    <row r="148" spans="1:17" x14ac:dyDescent="0.25">
      <c r="A148" t="s">
        <v>30</v>
      </c>
      <c r="B148" t="s">
        <v>37</v>
      </c>
      <c r="C148" t="s">
        <v>26</v>
      </c>
      <c r="D148">
        <v>10810</v>
      </c>
      <c r="N148" t="s">
        <v>29</v>
      </c>
      <c r="O148" t="s">
        <v>41</v>
      </c>
      <c r="P148" t="s">
        <v>24</v>
      </c>
      <c r="Q148">
        <v>20235</v>
      </c>
    </row>
    <row r="149" spans="1:17" x14ac:dyDescent="0.25">
      <c r="A149" t="s">
        <v>30</v>
      </c>
      <c r="B149" t="s">
        <v>37</v>
      </c>
      <c r="C149" t="s">
        <v>27</v>
      </c>
      <c r="D149">
        <v>9749</v>
      </c>
      <c r="N149" t="s">
        <v>29</v>
      </c>
      <c r="O149" t="s">
        <v>41</v>
      </c>
      <c r="P149" t="s">
        <v>25</v>
      </c>
      <c r="Q149">
        <v>22006</v>
      </c>
    </row>
    <row r="150" spans="1:17" x14ac:dyDescent="0.25">
      <c r="A150" t="s">
        <v>31</v>
      </c>
      <c r="B150" t="s">
        <v>37</v>
      </c>
      <c r="C150" t="s">
        <v>18</v>
      </c>
      <c r="D150">
        <v>11034</v>
      </c>
      <c r="N150" t="s">
        <v>29</v>
      </c>
      <c r="O150" t="s">
        <v>41</v>
      </c>
      <c r="P150" t="s">
        <v>26</v>
      </c>
      <c r="Q150">
        <v>21631</v>
      </c>
    </row>
    <row r="151" spans="1:17" x14ac:dyDescent="0.25">
      <c r="A151" t="s">
        <v>31</v>
      </c>
      <c r="B151" t="s">
        <v>37</v>
      </c>
      <c r="C151" t="s">
        <v>19</v>
      </c>
      <c r="D151">
        <v>10964</v>
      </c>
      <c r="N151" t="s">
        <v>29</v>
      </c>
      <c r="O151" t="s">
        <v>41</v>
      </c>
      <c r="P151" t="s">
        <v>27</v>
      </c>
      <c r="Q151">
        <v>18708</v>
      </c>
    </row>
    <row r="152" spans="1:17" x14ac:dyDescent="0.25">
      <c r="A152" t="s">
        <v>31</v>
      </c>
      <c r="B152" t="s">
        <v>37</v>
      </c>
      <c r="C152" t="s">
        <v>20</v>
      </c>
      <c r="D152">
        <v>9889</v>
      </c>
      <c r="N152" t="s">
        <v>29</v>
      </c>
      <c r="O152" t="s">
        <v>41</v>
      </c>
      <c r="P152" t="s">
        <v>43</v>
      </c>
      <c r="Q152">
        <v>21875</v>
      </c>
    </row>
    <row r="153" spans="1:17" x14ac:dyDescent="0.25">
      <c r="A153" t="s">
        <v>31</v>
      </c>
      <c r="B153" t="s">
        <v>37</v>
      </c>
      <c r="C153" t="s">
        <v>21</v>
      </c>
      <c r="D153">
        <v>9079</v>
      </c>
      <c r="N153" t="s">
        <v>29</v>
      </c>
      <c r="O153" t="s">
        <v>41</v>
      </c>
      <c r="P153" t="s">
        <v>44</v>
      </c>
      <c r="Q153">
        <v>23735</v>
      </c>
    </row>
    <row r="154" spans="1:17" x14ac:dyDescent="0.25">
      <c r="A154" t="s">
        <v>31</v>
      </c>
      <c r="B154" t="s">
        <v>37</v>
      </c>
      <c r="C154" t="s">
        <v>22</v>
      </c>
      <c r="D154">
        <v>8947</v>
      </c>
      <c r="N154" t="s">
        <v>29</v>
      </c>
      <c r="O154" t="s">
        <v>40</v>
      </c>
      <c r="P154" t="s">
        <v>18</v>
      </c>
      <c r="Q154">
        <v>31772</v>
      </c>
    </row>
    <row r="155" spans="1:17" x14ac:dyDescent="0.25">
      <c r="A155" t="s">
        <v>31</v>
      </c>
      <c r="B155" t="s">
        <v>37</v>
      </c>
      <c r="C155" t="s">
        <v>23</v>
      </c>
      <c r="D155">
        <v>8484</v>
      </c>
      <c r="N155" t="s">
        <v>29</v>
      </c>
      <c r="O155" t="s">
        <v>40</v>
      </c>
      <c r="P155" t="s">
        <v>19</v>
      </c>
      <c r="Q155">
        <v>34738</v>
      </c>
    </row>
    <row r="156" spans="1:17" x14ac:dyDescent="0.25">
      <c r="A156" t="s">
        <v>31</v>
      </c>
      <c r="B156" t="s">
        <v>37</v>
      </c>
      <c r="C156" t="s">
        <v>24</v>
      </c>
      <c r="D156">
        <v>8759</v>
      </c>
      <c r="N156" t="s">
        <v>29</v>
      </c>
      <c r="O156" t="s">
        <v>40</v>
      </c>
      <c r="P156" t="s">
        <v>20</v>
      </c>
      <c r="Q156">
        <v>33234</v>
      </c>
    </row>
    <row r="157" spans="1:17" x14ac:dyDescent="0.25">
      <c r="A157" t="s">
        <v>31</v>
      </c>
      <c r="B157" t="s">
        <v>37</v>
      </c>
      <c r="C157" t="s">
        <v>25</v>
      </c>
      <c r="D157">
        <v>9308</v>
      </c>
      <c r="N157" t="s">
        <v>29</v>
      </c>
      <c r="O157" t="s">
        <v>40</v>
      </c>
      <c r="P157" t="s">
        <v>21</v>
      </c>
      <c r="Q157">
        <v>31162</v>
      </c>
    </row>
    <row r="158" spans="1:17" x14ac:dyDescent="0.25">
      <c r="A158" t="s">
        <v>31</v>
      </c>
      <c r="B158" t="s">
        <v>37</v>
      </c>
      <c r="C158" t="s">
        <v>26</v>
      </c>
      <c r="D158">
        <v>9809</v>
      </c>
      <c r="N158" t="s">
        <v>29</v>
      </c>
      <c r="O158" t="s">
        <v>40</v>
      </c>
      <c r="P158" t="s">
        <v>22</v>
      </c>
      <c r="Q158">
        <v>30622</v>
      </c>
    </row>
    <row r="159" spans="1:17" x14ac:dyDescent="0.25">
      <c r="A159" t="s">
        <v>31</v>
      </c>
      <c r="B159" t="s">
        <v>37</v>
      </c>
      <c r="C159" t="s">
        <v>27</v>
      </c>
      <c r="D159">
        <v>8201</v>
      </c>
      <c r="N159" t="s">
        <v>29</v>
      </c>
      <c r="O159" t="s">
        <v>40</v>
      </c>
      <c r="P159" t="s">
        <v>23</v>
      </c>
      <c r="Q159">
        <v>29733</v>
      </c>
    </row>
    <row r="160" spans="1:17" x14ac:dyDescent="0.25">
      <c r="A160" t="s">
        <v>32</v>
      </c>
      <c r="B160" t="s">
        <v>37</v>
      </c>
      <c r="C160" t="s">
        <v>18</v>
      </c>
      <c r="D160">
        <v>4836</v>
      </c>
      <c r="N160" t="s">
        <v>29</v>
      </c>
      <c r="O160" t="s">
        <v>40</v>
      </c>
      <c r="P160" t="s">
        <v>24</v>
      </c>
      <c r="Q160">
        <v>28653</v>
      </c>
    </row>
    <row r="161" spans="1:17" x14ac:dyDescent="0.25">
      <c r="A161" t="s">
        <v>32</v>
      </c>
      <c r="B161" t="s">
        <v>37</v>
      </c>
      <c r="C161" t="s">
        <v>19</v>
      </c>
      <c r="D161">
        <v>4866</v>
      </c>
      <c r="N161" t="s">
        <v>29</v>
      </c>
      <c r="O161" t="s">
        <v>40</v>
      </c>
      <c r="P161" t="s">
        <v>25</v>
      </c>
      <c r="Q161">
        <v>28778</v>
      </c>
    </row>
    <row r="162" spans="1:17" x14ac:dyDescent="0.25">
      <c r="A162" t="s">
        <v>32</v>
      </c>
      <c r="B162" t="s">
        <v>37</v>
      </c>
      <c r="C162" t="s">
        <v>20</v>
      </c>
      <c r="D162">
        <v>4423</v>
      </c>
      <c r="N162" t="s">
        <v>29</v>
      </c>
      <c r="O162" t="s">
        <v>40</v>
      </c>
      <c r="P162" t="s">
        <v>26</v>
      </c>
      <c r="Q162">
        <v>27567</v>
      </c>
    </row>
    <row r="163" spans="1:17" x14ac:dyDescent="0.25">
      <c r="A163" t="s">
        <v>32</v>
      </c>
      <c r="B163" t="s">
        <v>37</v>
      </c>
      <c r="C163" t="s">
        <v>21</v>
      </c>
      <c r="D163">
        <v>4312</v>
      </c>
      <c r="N163" t="s">
        <v>29</v>
      </c>
      <c r="O163" t="s">
        <v>40</v>
      </c>
      <c r="P163" t="s">
        <v>27</v>
      </c>
      <c r="Q163">
        <v>22626</v>
      </c>
    </row>
    <row r="164" spans="1:17" x14ac:dyDescent="0.25">
      <c r="A164" t="s">
        <v>32</v>
      </c>
      <c r="B164" t="s">
        <v>37</v>
      </c>
      <c r="C164" t="s">
        <v>22</v>
      </c>
      <c r="D164">
        <v>4369</v>
      </c>
      <c r="N164" t="s">
        <v>29</v>
      </c>
      <c r="O164" t="s">
        <v>40</v>
      </c>
      <c r="P164" t="s">
        <v>43</v>
      </c>
      <c r="Q164">
        <v>22900</v>
      </c>
    </row>
    <row r="165" spans="1:17" x14ac:dyDescent="0.25">
      <c r="A165" t="s">
        <v>32</v>
      </c>
      <c r="B165" t="s">
        <v>37</v>
      </c>
      <c r="C165" t="s">
        <v>23</v>
      </c>
      <c r="D165">
        <v>3828</v>
      </c>
      <c r="N165" t="s">
        <v>29</v>
      </c>
      <c r="O165" t="s">
        <v>40</v>
      </c>
      <c r="P165" t="s">
        <v>44</v>
      </c>
      <c r="Q165">
        <v>24768</v>
      </c>
    </row>
    <row r="166" spans="1:17" x14ac:dyDescent="0.25">
      <c r="A166" t="s">
        <v>32</v>
      </c>
      <c r="B166" t="s">
        <v>37</v>
      </c>
      <c r="C166" t="s">
        <v>24</v>
      </c>
      <c r="D166">
        <v>3862</v>
      </c>
      <c r="N166" t="s">
        <v>29</v>
      </c>
      <c r="O166" t="s">
        <v>37</v>
      </c>
      <c r="P166" t="s">
        <v>18</v>
      </c>
      <c r="Q166">
        <v>4785</v>
      </c>
    </row>
    <row r="167" spans="1:17" x14ac:dyDescent="0.25">
      <c r="A167" t="s">
        <v>32</v>
      </c>
      <c r="B167" t="s">
        <v>37</v>
      </c>
      <c r="C167" t="s">
        <v>25</v>
      </c>
      <c r="D167">
        <v>4060</v>
      </c>
      <c r="N167" t="s">
        <v>29</v>
      </c>
      <c r="O167" t="s">
        <v>37</v>
      </c>
      <c r="P167" t="s">
        <v>19</v>
      </c>
      <c r="Q167">
        <v>5098</v>
      </c>
    </row>
    <row r="168" spans="1:17" x14ac:dyDescent="0.25">
      <c r="A168" t="s">
        <v>32</v>
      </c>
      <c r="B168" t="s">
        <v>37</v>
      </c>
      <c r="C168" t="s">
        <v>26</v>
      </c>
      <c r="D168">
        <v>3990</v>
      </c>
      <c r="N168" t="s">
        <v>29</v>
      </c>
      <c r="O168" t="s">
        <v>37</v>
      </c>
      <c r="P168" t="s">
        <v>20</v>
      </c>
      <c r="Q168">
        <v>4584</v>
      </c>
    </row>
    <row r="169" spans="1:17" x14ac:dyDescent="0.25">
      <c r="A169" t="s">
        <v>32</v>
      </c>
      <c r="B169" t="s">
        <v>37</v>
      </c>
      <c r="C169" t="s">
        <v>27</v>
      </c>
      <c r="D169">
        <v>3720</v>
      </c>
      <c r="N169" t="s">
        <v>29</v>
      </c>
      <c r="O169" t="s">
        <v>37</v>
      </c>
      <c r="P169" t="s">
        <v>21</v>
      </c>
      <c r="Q169">
        <v>4094</v>
      </c>
    </row>
    <row r="170" spans="1:17" x14ac:dyDescent="0.25">
      <c r="A170" t="s">
        <v>33</v>
      </c>
      <c r="B170" t="s">
        <v>37</v>
      </c>
      <c r="C170" t="s">
        <v>18</v>
      </c>
      <c r="D170">
        <v>3955</v>
      </c>
      <c r="N170" t="s">
        <v>29</v>
      </c>
      <c r="O170" t="s">
        <v>37</v>
      </c>
      <c r="P170" t="s">
        <v>22</v>
      </c>
      <c r="Q170">
        <v>3928</v>
      </c>
    </row>
    <row r="171" spans="1:17" x14ac:dyDescent="0.25">
      <c r="A171" t="s">
        <v>33</v>
      </c>
      <c r="B171" t="s">
        <v>37</v>
      </c>
      <c r="C171" t="s">
        <v>19</v>
      </c>
      <c r="D171">
        <v>4065</v>
      </c>
      <c r="N171" t="s">
        <v>29</v>
      </c>
      <c r="O171" t="s">
        <v>37</v>
      </c>
      <c r="P171" t="s">
        <v>23</v>
      </c>
      <c r="Q171">
        <v>3488</v>
      </c>
    </row>
    <row r="172" spans="1:17" x14ac:dyDescent="0.25">
      <c r="A172" t="s">
        <v>33</v>
      </c>
      <c r="B172" t="s">
        <v>37</v>
      </c>
      <c r="C172" t="s">
        <v>20</v>
      </c>
      <c r="D172">
        <v>3797</v>
      </c>
      <c r="N172" t="s">
        <v>29</v>
      </c>
      <c r="O172" t="s">
        <v>37</v>
      </c>
      <c r="P172" t="s">
        <v>24</v>
      </c>
      <c r="Q172">
        <v>3284</v>
      </c>
    </row>
    <row r="173" spans="1:17" x14ac:dyDescent="0.25">
      <c r="A173" t="s">
        <v>33</v>
      </c>
      <c r="B173" t="s">
        <v>37</v>
      </c>
      <c r="C173" t="s">
        <v>21</v>
      </c>
      <c r="D173">
        <v>3474</v>
      </c>
      <c r="N173" t="s">
        <v>29</v>
      </c>
      <c r="O173" t="s">
        <v>37</v>
      </c>
      <c r="P173" t="s">
        <v>25</v>
      </c>
      <c r="Q173">
        <v>3457</v>
      </c>
    </row>
    <row r="174" spans="1:17" x14ac:dyDescent="0.25">
      <c r="A174" t="s">
        <v>33</v>
      </c>
      <c r="B174" t="s">
        <v>37</v>
      </c>
      <c r="C174" t="s">
        <v>22</v>
      </c>
      <c r="D174">
        <v>3331</v>
      </c>
      <c r="N174" t="s">
        <v>29</v>
      </c>
      <c r="O174" t="s">
        <v>37</v>
      </c>
      <c r="P174" t="s">
        <v>26</v>
      </c>
      <c r="Q174">
        <v>3746</v>
      </c>
    </row>
    <row r="175" spans="1:17" x14ac:dyDescent="0.25">
      <c r="A175" t="s">
        <v>33</v>
      </c>
      <c r="B175" t="s">
        <v>37</v>
      </c>
      <c r="C175" t="s">
        <v>23</v>
      </c>
      <c r="D175">
        <v>3216</v>
      </c>
      <c r="N175" t="s">
        <v>29</v>
      </c>
      <c r="O175" t="s">
        <v>37</v>
      </c>
      <c r="P175" t="s">
        <v>27</v>
      </c>
      <c r="Q175">
        <v>2971</v>
      </c>
    </row>
    <row r="176" spans="1:17" x14ac:dyDescent="0.25">
      <c r="A176" t="s">
        <v>33</v>
      </c>
      <c r="B176" t="s">
        <v>37</v>
      </c>
      <c r="C176" t="s">
        <v>24</v>
      </c>
      <c r="D176">
        <v>3198</v>
      </c>
      <c r="N176" t="s">
        <v>29</v>
      </c>
      <c r="O176" t="s">
        <v>37</v>
      </c>
      <c r="P176" t="s">
        <v>43</v>
      </c>
      <c r="Q176">
        <v>3416</v>
      </c>
    </row>
    <row r="177" spans="1:17" x14ac:dyDescent="0.25">
      <c r="A177" t="s">
        <v>33</v>
      </c>
      <c r="B177" t="s">
        <v>37</v>
      </c>
      <c r="C177" t="s">
        <v>25</v>
      </c>
      <c r="D177">
        <v>3470</v>
      </c>
      <c r="N177" t="s">
        <v>29</v>
      </c>
      <c r="O177" t="s">
        <v>37</v>
      </c>
      <c r="P177" t="s">
        <v>44</v>
      </c>
      <c r="Q177">
        <v>3442</v>
      </c>
    </row>
    <row r="178" spans="1:17" x14ac:dyDescent="0.25">
      <c r="A178" t="s">
        <v>33</v>
      </c>
      <c r="B178" t="s">
        <v>37</v>
      </c>
      <c r="C178" t="s">
        <v>26</v>
      </c>
      <c r="D178">
        <v>3513</v>
      </c>
      <c r="N178" t="s">
        <v>30</v>
      </c>
      <c r="O178" t="s">
        <v>38</v>
      </c>
      <c r="P178" t="s">
        <v>18</v>
      </c>
      <c r="Q178">
        <v>35148</v>
      </c>
    </row>
    <row r="179" spans="1:17" x14ac:dyDescent="0.25">
      <c r="A179" t="s">
        <v>33</v>
      </c>
      <c r="B179" t="s">
        <v>37</v>
      </c>
      <c r="C179" t="s">
        <v>27</v>
      </c>
      <c r="D179">
        <v>3134</v>
      </c>
      <c r="N179" t="s">
        <v>30</v>
      </c>
      <c r="O179" t="s">
        <v>38</v>
      </c>
      <c r="P179" t="s">
        <v>19</v>
      </c>
      <c r="Q179">
        <v>35717</v>
      </c>
    </row>
    <row r="180" spans="1:17" x14ac:dyDescent="0.25">
      <c r="A180" t="s">
        <v>34</v>
      </c>
      <c r="B180" t="s">
        <v>37</v>
      </c>
      <c r="C180" t="s">
        <v>18</v>
      </c>
      <c r="D180">
        <v>4885</v>
      </c>
      <c r="N180" t="s">
        <v>30</v>
      </c>
      <c r="O180" t="s">
        <v>38</v>
      </c>
      <c r="P180" t="s">
        <v>20</v>
      </c>
      <c r="Q180">
        <v>42506</v>
      </c>
    </row>
    <row r="181" spans="1:17" x14ac:dyDescent="0.25">
      <c r="A181" t="s">
        <v>34</v>
      </c>
      <c r="B181" t="s">
        <v>37</v>
      </c>
      <c r="C181" t="s">
        <v>19</v>
      </c>
      <c r="D181">
        <v>5228</v>
      </c>
      <c r="N181" t="s">
        <v>30</v>
      </c>
      <c r="O181" t="s">
        <v>38</v>
      </c>
      <c r="P181" t="s">
        <v>21</v>
      </c>
      <c r="Q181">
        <v>47362</v>
      </c>
    </row>
    <row r="182" spans="1:17" x14ac:dyDescent="0.25">
      <c r="A182" t="s">
        <v>34</v>
      </c>
      <c r="B182" t="s">
        <v>37</v>
      </c>
      <c r="C182" t="s">
        <v>20</v>
      </c>
      <c r="D182">
        <v>4616</v>
      </c>
      <c r="N182" t="s">
        <v>30</v>
      </c>
      <c r="O182" t="s">
        <v>38</v>
      </c>
      <c r="P182" t="s">
        <v>22</v>
      </c>
      <c r="Q182">
        <v>49792</v>
      </c>
    </row>
    <row r="183" spans="1:17" x14ac:dyDescent="0.25">
      <c r="A183" t="s">
        <v>34</v>
      </c>
      <c r="B183" t="s">
        <v>37</v>
      </c>
      <c r="C183" t="s">
        <v>21</v>
      </c>
      <c r="D183">
        <v>4585</v>
      </c>
      <c r="N183" t="s">
        <v>30</v>
      </c>
      <c r="O183" t="s">
        <v>38</v>
      </c>
      <c r="P183" t="s">
        <v>23</v>
      </c>
      <c r="Q183">
        <v>53793</v>
      </c>
    </row>
    <row r="184" spans="1:17" x14ac:dyDescent="0.25">
      <c r="A184" t="s">
        <v>34</v>
      </c>
      <c r="B184" t="s">
        <v>37</v>
      </c>
      <c r="C184" t="s">
        <v>22</v>
      </c>
      <c r="D184">
        <v>4164</v>
      </c>
      <c r="N184" t="s">
        <v>30</v>
      </c>
      <c r="O184" t="s">
        <v>38</v>
      </c>
      <c r="P184" t="s">
        <v>24</v>
      </c>
      <c r="Q184">
        <v>51706</v>
      </c>
    </row>
    <row r="185" spans="1:17" x14ac:dyDescent="0.25">
      <c r="A185" t="s">
        <v>34</v>
      </c>
      <c r="B185" t="s">
        <v>37</v>
      </c>
      <c r="C185" t="s">
        <v>23</v>
      </c>
      <c r="D185">
        <v>4326</v>
      </c>
      <c r="N185" t="s">
        <v>30</v>
      </c>
      <c r="O185" t="s">
        <v>38</v>
      </c>
      <c r="P185" t="s">
        <v>25</v>
      </c>
      <c r="Q185">
        <v>52040</v>
      </c>
    </row>
    <row r="186" spans="1:17" x14ac:dyDescent="0.25">
      <c r="A186" t="s">
        <v>34</v>
      </c>
      <c r="B186" t="s">
        <v>37</v>
      </c>
      <c r="C186" t="s">
        <v>24</v>
      </c>
      <c r="D186">
        <v>4182</v>
      </c>
      <c r="N186" t="s">
        <v>30</v>
      </c>
      <c r="O186" t="s">
        <v>38</v>
      </c>
      <c r="P186" t="s">
        <v>26</v>
      </c>
      <c r="Q186">
        <v>53927</v>
      </c>
    </row>
    <row r="187" spans="1:17" x14ac:dyDescent="0.25">
      <c r="A187" t="s">
        <v>34</v>
      </c>
      <c r="B187" t="s">
        <v>37</v>
      </c>
      <c r="C187" t="s">
        <v>25</v>
      </c>
      <c r="D187">
        <v>4021</v>
      </c>
      <c r="N187" t="s">
        <v>30</v>
      </c>
      <c r="O187" t="s">
        <v>38</v>
      </c>
      <c r="P187" t="s">
        <v>27</v>
      </c>
      <c r="Q187">
        <v>44109</v>
      </c>
    </row>
    <row r="188" spans="1:17" x14ac:dyDescent="0.25">
      <c r="A188" t="s">
        <v>34</v>
      </c>
      <c r="B188" t="s">
        <v>37</v>
      </c>
      <c r="C188" t="s">
        <v>26</v>
      </c>
      <c r="D188">
        <v>3824</v>
      </c>
      <c r="N188" t="s">
        <v>30</v>
      </c>
      <c r="O188" t="s">
        <v>38</v>
      </c>
      <c r="P188" t="s">
        <v>43</v>
      </c>
      <c r="Q188">
        <v>26033</v>
      </c>
    </row>
    <row r="189" spans="1:17" x14ac:dyDescent="0.25">
      <c r="A189" t="s">
        <v>34</v>
      </c>
      <c r="B189" t="s">
        <v>37</v>
      </c>
      <c r="C189" t="s">
        <v>27</v>
      </c>
      <c r="D189">
        <v>3262</v>
      </c>
      <c r="N189" t="s">
        <v>30</v>
      </c>
      <c r="O189" t="s">
        <v>38</v>
      </c>
      <c r="P189" t="s">
        <v>44</v>
      </c>
      <c r="Q189">
        <v>26599</v>
      </c>
    </row>
    <row r="190" spans="1:17" x14ac:dyDescent="0.25">
      <c r="A190" t="s">
        <v>35</v>
      </c>
      <c r="B190" t="s">
        <v>37</v>
      </c>
      <c r="C190" t="s">
        <v>18</v>
      </c>
      <c r="D190">
        <v>1722</v>
      </c>
      <c r="N190" t="s">
        <v>30</v>
      </c>
      <c r="O190" t="s">
        <v>17</v>
      </c>
      <c r="P190" t="s">
        <v>18</v>
      </c>
      <c r="Q190">
        <v>160289</v>
      </c>
    </row>
    <row r="191" spans="1:17" x14ac:dyDescent="0.25">
      <c r="A191" t="s">
        <v>35</v>
      </c>
      <c r="B191" t="s">
        <v>37</v>
      </c>
      <c r="C191" t="s">
        <v>19</v>
      </c>
      <c r="D191">
        <v>1826</v>
      </c>
      <c r="N191" t="s">
        <v>30</v>
      </c>
      <c r="O191" t="s">
        <v>17</v>
      </c>
      <c r="P191" t="s">
        <v>19</v>
      </c>
      <c r="Q191">
        <v>153610</v>
      </c>
    </row>
    <row r="192" spans="1:17" x14ac:dyDescent="0.25">
      <c r="A192" t="s">
        <v>35</v>
      </c>
      <c r="B192" t="s">
        <v>37</v>
      </c>
      <c r="C192" t="s">
        <v>20</v>
      </c>
      <c r="D192">
        <v>1731</v>
      </c>
      <c r="N192" t="s">
        <v>30</v>
      </c>
      <c r="O192" t="s">
        <v>17</v>
      </c>
      <c r="P192" t="s">
        <v>20</v>
      </c>
      <c r="Q192">
        <v>160881</v>
      </c>
    </row>
    <row r="193" spans="1:17" x14ac:dyDescent="0.25">
      <c r="A193" t="s">
        <v>35</v>
      </c>
      <c r="B193" t="s">
        <v>37</v>
      </c>
      <c r="C193" t="s">
        <v>21</v>
      </c>
      <c r="D193">
        <v>1578</v>
      </c>
      <c r="N193" t="s">
        <v>30</v>
      </c>
      <c r="O193" t="s">
        <v>17</v>
      </c>
      <c r="P193" t="s">
        <v>21</v>
      </c>
      <c r="Q193">
        <v>167264</v>
      </c>
    </row>
    <row r="194" spans="1:17" x14ac:dyDescent="0.25">
      <c r="A194" t="s">
        <v>35</v>
      </c>
      <c r="B194" t="s">
        <v>37</v>
      </c>
      <c r="C194" t="s">
        <v>22</v>
      </c>
      <c r="D194">
        <v>1719</v>
      </c>
      <c r="N194" t="s">
        <v>30</v>
      </c>
      <c r="O194" t="s">
        <v>17</v>
      </c>
      <c r="P194" t="s">
        <v>22</v>
      </c>
      <c r="Q194">
        <v>172814</v>
      </c>
    </row>
    <row r="195" spans="1:17" x14ac:dyDescent="0.25">
      <c r="A195" t="s">
        <v>35</v>
      </c>
      <c r="B195" t="s">
        <v>37</v>
      </c>
      <c r="C195" t="s">
        <v>23</v>
      </c>
      <c r="D195">
        <v>1587</v>
      </c>
      <c r="N195" t="s">
        <v>30</v>
      </c>
      <c r="O195" t="s">
        <v>17</v>
      </c>
      <c r="P195" t="s">
        <v>23</v>
      </c>
      <c r="Q195">
        <v>171466</v>
      </c>
    </row>
    <row r="196" spans="1:17" x14ac:dyDescent="0.25">
      <c r="A196" t="s">
        <v>35</v>
      </c>
      <c r="B196" t="s">
        <v>37</v>
      </c>
      <c r="C196" t="s">
        <v>24</v>
      </c>
      <c r="D196">
        <v>1538</v>
      </c>
      <c r="N196" t="s">
        <v>30</v>
      </c>
      <c r="O196" t="s">
        <v>17</v>
      </c>
      <c r="P196" t="s">
        <v>24</v>
      </c>
      <c r="Q196">
        <v>170640</v>
      </c>
    </row>
    <row r="197" spans="1:17" x14ac:dyDescent="0.25">
      <c r="A197" t="s">
        <v>35</v>
      </c>
      <c r="B197" t="s">
        <v>37</v>
      </c>
      <c r="C197" t="s">
        <v>25</v>
      </c>
      <c r="D197">
        <v>1578</v>
      </c>
      <c r="N197" t="s">
        <v>30</v>
      </c>
      <c r="O197" t="s">
        <v>17</v>
      </c>
      <c r="P197" t="s">
        <v>25</v>
      </c>
      <c r="Q197">
        <v>174894</v>
      </c>
    </row>
    <row r="198" spans="1:17" x14ac:dyDescent="0.25">
      <c r="A198" t="s">
        <v>35</v>
      </c>
      <c r="B198" t="s">
        <v>37</v>
      </c>
      <c r="C198" t="s">
        <v>26</v>
      </c>
      <c r="D198">
        <v>1590</v>
      </c>
      <c r="N198" t="s">
        <v>30</v>
      </c>
      <c r="O198" t="s">
        <v>17</v>
      </c>
      <c r="P198" t="s">
        <v>26</v>
      </c>
      <c r="Q198">
        <v>177737</v>
      </c>
    </row>
    <row r="199" spans="1:17" x14ac:dyDescent="0.25">
      <c r="A199" t="s">
        <v>35</v>
      </c>
      <c r="B199" t="s">
        <v>37</v>
      </c>
      <c r="C199" t="s">
        <v>27</v>
      </c>
      <c r="D199">
        <v>1295</v>
      </c>
      <c r="N199" t="s">
        <v>30</v>
      </c>
      <c r="O199" t="s">
        <v>17</v>
      </c>
      <c r="P199" t="s">
        <v>27</v>
      </c>
      <c r="Q199">
        <v>151911</v>
      </c>
    </row>
    <row r="200" spans="1:17" x14ac:dyDescent="0.25">
      <c r="A200" t="s">
        <v>36</v>
      </c>
      <c r="B200" t="s">
        <v>37</v>
      </c>
      <c r="C200" t="s">
        <v>18</v>
      </c>
      <c r="D200">
        <v>8809</v>
      </c>
      <c r="N200" t="s">
        <v>30</v>
      </c>
      <c r="O200" t="s">
        <v>17</v>
      </c>
      <c r="P200" t="s">
        <v>43</v>
      </c>
      <c r="Q200">
        <v>171026</v>
      </c>
    </row>
    <row r="201" spans="1:17" x14ac:dyDescent="0.25">
      <c r="A201" t="s">
        <v>36</v>
      </c>
      <c r="B201" t="s">
        <v>37</v>
      </c>
      <c r="C201" t="s">
        <v>19</v>
      </c>
      <c r="D201">
        <v>8440</v>
      </c>
      <c r="N201" t="s">
        <v>30</v>
      </c>
      <c r="O201" t="s">
        <v>17</v>
      </c>
      <c r="P201" t="s">
        <v>44</v>
      </c>
      <c r="Q201">
        <v>181837</v>
      </c>
    </row>
    <row r="202" spans="1:17" x14ac:dyDescent="0.25">
      <c r="A202" t="s">
        <v>36</v>
      </c>
      <c r="B202" t="s">
        <v>37</v>
      </c>
      <c r="C202" t="s">
        <v>20</v>
      </c>
      <c r="D202">
        <v>7760</v>
      </c>
      <c r="N202" t="s">
        <v>30</v>
      </c>
      <c r="O202" t="s">
        <v>39</v>
      </c>
      <c r="P202" t="s">
        <v>18</v>
      </c>
      <c r="Q202">
        <v>37796</v>
      </c>
    </row>
    <row r="203" spans="1:17" x14ac:dyDescent="0.25">
      <c r="A203" t="s">
        <v>36</v>
      </c>
      <c r="B203" t="s">
        <v>37</v>
      </c>
      <c r="C203" t="s">
        <v>21</v>
      </c>
      <c r="D203">
        <v>7369</v>
      </c>
      <c r="N203" t="s">
        <v>30</v>
      </c>
      <c r="O203" t="s">
        <v>39</v>
      </c>
      <c r="P203" t="s">
        <v>19</v>
      </c>
      <c r="Q203">
        <v>36199</v>
      </c>
    </row>
    <row r="204" spans="1:17" x14ac:dyDescent="0.25">
      <c r="A204" t="s">
        <v>36</v>
      </c>
      <c r="B204" t="s">
        <v>37</v>
      </c>
      <c r="C204" t="s">
        <v>22</v>
      </c>
      <c r="D204">
        <v>7130</v>
      </c>
      <c r="N204" t="s">
        <v>30</v>
      </c>
      <c r="O204" t="s">
        <v>39</v>
      </c>
      <c r="P204" t="s">
        <v>20</v>
      </c>
      <c r="Q204">
        <v>35757</v>
      </c>
    </row>
    <row r="205" spans="1:17" x14ac:dyDescent="0.25">
      <c r="A205" t="s">
        <v>36</v>
      </c>
      <c r="B205" t="s">
        <v>37</v>
      </c>
      <c r="C205" t="s">
        <v>23</v>
      </c>
      <c r="D205">
        <v>7115</v>
      </c>
      <c r="N205" t="s">
        <v>30</v>
      </c>
      <c r="O205" t="s">
        <v>39</v>
      </c>
      <c r="P205" t="s">
        <v>21</v>
      </c>
      <c r="Q205">
        <v>35847</v>
      </c>
    </row>
    <row r="206" spans="1:17" x14ac:dyDescent="0.25">
      <c r="A206" t="s">
        <v>36</v>
      </c>
      <c r="B206" t="s">
        <v>37</v>
      </c>
      <c r="C206" t="s">
        <v>24</v>
      </c>
      <c r="D206">
        <v>7075</v>
      </c>
      <c r="N206" t="s">
        <v>30</v>
      </c>
      <c r="O206" t="s">
        <v>39</v>
      </c>
      <c r="P206" t="s">
        <v>22</v>
      </c>
      <c r="Q206">
        <v>35312</v>
      </c>
    </row>
    <row r="207" spans="1:17" x14ac:dyDescent="0.25">
      <c r="A207" t="s">
        <v>36</v>
      </c>
      <c r="B207" t="s">
        <v>37</v>
      </c>
      <c r="C207" t="s">
        <v>25</v>
      </c>
      <c r="D207">
        <v>7043</v>
      </c>
      <c r="N207" t="s">
        <v>30</v>
      </c>
      <c r="O207" t="s">
        <v>39</v>
      </c>
      <c r="P207" t="s">
        <v>23</v>
      </c>
      <c r="Q207">
        <v>34023</v>
      </c>
    </row>
    <row r="208" spans="1:17" x14ac:dyDescent="0.25">
      <c r="A208" t="s">
        <v>36</v>
      </c>
      <c r="B208" t="s">
        <v>37</v>
      </c>
      <c r="C208" t="s">
        <v>26</v>
      </c>
      <c r="D208">
        <v>7303</v>
      </c>
      <c r="N208" t="s">
        <v>30</v>
      </c>
      <c r="O208" t="s">
        <v>39</v>
      </c>
      <c r="P208" t="s">
        <v>24</v>
      </c>
      <c r="Q208">
        <v>32456</v>
      </c>
    </row>
    <row r="209" spans="1:17" x14ac:dyDescent="0.25">
      <c r="A209" t="s">
        <v>36</v>
      </c>
      <c r="B209" t="s">
        <v>37</v>
      </c>
      <c r="C209" t="s">
        <v>27</v>
      </c>
      <c r="D209">
        <v>6437</v>
      </c>
      <c r="N209" t="s">
        <v>30</v>
      </c>
      <c r="O209" t="s">
        <v>39</v>
      </c>
      <c r="P209" t="s">
        <v>25</v>
      </c>
      <c r="Q209">
        <v>31275</v>
      </c>
    </row>
    <row r="210" spans="1:17" x14ac:dyDescent="0.25">
      <c r="A210" t="s">
        <v>16</v>
      </c>
      <c r="B210" t="s">
        <v>38</v>
      </c>
      <c r="C210" t="s">
        <v>18</v>
      </c>
      <c r="D210">
        <v>100769</v>
      </c>
      <c r="N210" t="s">
        <v>30</v>
      </c>
      <c r="O210" t="s">
        <v>39</v>
      </c>
      <c r="P210" t="s">
        <v>26</v>
      </c>
      <c r="Q210">
        <v>29232</v>
      </c>
    </row>
    <row r="211" spans="1:17" x14ac:dyDescent="0.25">
      <c r="A211" t="s">
        <v>16</v>
      </c>
      <c r="B211" t="s">
        <v>38</v>
      </c>
      <c r="C211" t="s">
        <v>19</v>
      </c>
      <c r="D211">
        <v>105488</v>
      </c>
      <c r="N211" t="s">
        <v>30</v>
      </c>
      <c r="O211" t="s">
        <v>39</v>
      </c>
      <c r="P211" t="s">
        <v>27</v>
      </c>
      <c r="Q211">
        <v>24996</v>
      </c>
    </row>
    <row r="212" spans="1:17" x14ac:dyDescent="0.25">
      <c r="A212" t="s">
        <v>16</v>
      </c>
      <c r="B212" t="s">
        <v>38</v>
      </c>
      <c r="C212" t="s">
        <v>20</v>
      </c>
      <c r="D212">
        <v>118963</v>
      </c>
      <c r="N212" t="s">
        <v>30</v>
      </c>
      <c r="O212" t="s">
        <v>39</v>
      </c>
      <c r="P212" t="s">
        <v>43</v>
      </c>
      <c r="Q212">
        <v>29399</v>
      </c>
    </row>
    <row r="213" spans="1:17" x14ac:dyDescent="0.25">
      <c r="A213" t="s">
        <v>16</v>
      </c>
      <c r="B213" t="s">
        <v>38</v>
      </c>
      <c r="C213" t="s">
        <v>21</v>
      </c>
      <c r="D213">
        <v>129045</v>
      </c>
      <c r="N213" t="s">
        <v>30</v>
      </c>
      <c r="O213" t="s">
        <v>39</v>
      </c>
      <c r="P213" t="s">
        <v>44</v>
      </c>
      <c r="Q213">
        <v>29252</v>
      </c>
    </row>
    <row r="214" spans="1:17" x14ac:dyDescent="0.25">
      <c r="A214" t="s">
        <v>16</v>
      </c>
      <c r="B214" t="s">
        <v>38</v>
      </c>
      <c r="C214" t="s">
        <v>22</v>
      </c>
      <c r="D214">
        <v>132527</v>
      </c>
      <c r="N214" t="s">
        <v>30</v>
      </c>
      <c r="O214" t="s">
        <v>42</v>
      </c>
      <c r="P214" t="s">
        <v>18</v>
      </c>
      <c r="Q214">
        <v>51085</v>
      </c>
    </row>
    <row r="215" spans="1:17" x14ac:dyDescent="0.25">
      <c r="A215" t="s">
        <v>16</v>
      </c>
      <c r="B215" t="s">
        <v>38</v>
      </c>
      <c r="C215" t="s">
        <v>23</v>
      </c>
      <c r="D215">
        <v>140956</v>
      </c>
      <c r="N215" t="s">
        <v>30</v>
      </c>
      <c r="O215" t="s">
        <v>42</v>
      </c>
      <c r="P215" t="s">
        <v>19</v>
      </c>
      <c r="Q215">
        <v>64337</v>
      </c>
    </row>
    <row r="216" spans="1:17" x14ac:dyDescent="0.25">
      <c r="A216" t="s">
        <v>16</v>
      </c>
      <c r="B216" t="s">
        <v>38</v>
      </c>
      <c r="C216" t="s">
        <v>24</v>
      </c>
      <c r="D216">
        <v>138364</v>
      </c>
      <c r="N216" t="s">
        <v>30</v>
      </c>
      <c r="O216" t="s">
        <v>42</v>
      </c>
      <c r="P216" t="s">
        <v>20</v>
      </c>
      <c r="Q216">
        <v>104858</v>
      </c>
    </row>
    <row r="217" spans="1:17" x14ac:dyDescent="0.25">
      <c r="A217" t="s">
        <v>16</v>
      </c>
      <c r="B217" t="s">
        <v>38</v>
      </c>
      <c r="C217" t="s">
        <v>25</v>
      </c>
      <c r="D217">
        <v>140032</v>
      </c>
      <c r="N217" t="s">
        <v>30</v>
      </c>
      <c r="O217" t="s">
        <v>42</v>
      </c>
      <c r="P217" t="s">
        <v>21</v>
      </c>
      <c r="Q217">
        <v>100267</v>
      </c>
    </row>
    <row r="218" spans="1:17" x14ac:dyDescent="0.25">
      <c r="A218" t="s">
        <v>16</v>
      </c>
      <c r="B218" t="s">
        <v>38</v>
      </c>
      <c r="C218" t="s">
        <v>26</v>
      </c>
      <c r="D218">
        <v>143990</v>
      </c>
      <c r="N218" t="s">
        <v>30</v>
      </c>
      <c r="O218" t="s">
        <v>42</v>
      </c>
      <c r="P218" t="s">
        <v>22</v>
      </c>
      <c r="Q218">
        <v>91799</v>
      </c>
    </row>
    <row r="219" spans="1:17" x14ac:dyDescent="0.25">
      <c r="A219" t="s">
        <v>16</v>
      </c>
      <c r="B219" t="s">
        <v>38</v>
      </c>
      <c r="C219" t="s">
        <v>27</v>
      </c>
      <c r="D219">
        <v>119841</v>
      </c>
      <c r="N219" t="s">
        <v>30</v>
      </c>
      <c r="O219" t="s">
        <v>42</v>
      </c>
      <c r="P219" t="s">
        <v>23</v>
      </c>
      <c r="Q219">
        <v>95403</v>
      </c>
    </row>
    <row r="220" spans="1:17" x14ac:dyDescent="0.25">
      <c r="A220" t="s">
        <v>28</v>
      </c>
      <c r="B220" t="s">
        <v>38</v>
      </c>
      <c r="C220" t="s">
        <v>18</v>
      </c>
      <c r="D220">
        <v>12476</v>
      </c>
      <c r="N220" t="s">
        <v>30</v>
      </c>
      <c r="O220" t="s">
        <v>42</v>
      </c>
      <c r="P220" t="s">
        <v>24</v>
      </c>
      <c r="Q220">
        <v>107614</v>
      </c>
    </row>
    <row r="221" spans="1:17" x14ac:dyDescent="0.25">
      <c r="A221" t="s">
        <v>28</v>
      </c>
      <c r="B221" t="s">
        <v>38</v>
      </c>
      <c r="C221" t="s">
        <v>19</v>
      </c>
      <c r="D221">
        <v>11751</v>
      </c>
      <c r="N221" t="s">
        <v>30</v>
      </c>
      <c r="O221" t="s">
        <v>42</v>
      </c>
      <c r="P221" t="s">
        <v>25</v>
      </c>
      <c r="Q221">
        <v>90476</v>
      </c>
    </row>
    <row r="222" spans="1:17" x14ac:dyDescent="0.25">
      <c r="A222" t="s">
        <v>28</v>
      </c>
      <c r="B222" t="s">
        <v>38</v>
      </c>
      <c r="C222" t="s">
        <v>20</v>
      </c>
      <c r="D222">
        <v>13443</v>
      </c>
      <c r="N222" t="s">
        <v>30</v>
      </c>
      <c r="O222" t="s">
        <v>42</v>
      </c>
      <c r="P222" t="s">
        <v>26</v>
      </c>
      <c r="Q222">
        <v>83090</v>
      </c>
    </row>
    <row r="223" spans="1:17" x14ac:dyDescent="0.25">
      <c r="A223" t="s">
        <v>28</v>
      </c>
      <c r="B223" t="s">
        <v>38</v>
      </c>
      <c r="C223" t="s">
        <v>21</v>
      </c>
      <c r="D223">
        <v>13245</v>
      </c>
      <c r="N223" t="s">
        <v>30</v>
      </c>
      <c r="O223" t="s">
        <v>42</v>
      </c>
      <c r="P223" t="s">
        <v>27</v>
      </c>
      <c r="Q223">
        <v>47859</v>
      </c>
    </row>
    <row r="224" spans="1:17" x14ac:dyDescent="0.25">
      <c r="A224" t="s">
        <v>28</v>
      </c>
      <c r="B224" t="s">
        <v>38</v>
      </c>
      <c r="C224" t="s">
        <v>22</v>
      </c>
      <c r="D224">
        <v>12777</v>
      </c>
      <c r="N224" t="s">
        <v>30</v>
      </c>
      <c r="O224" t="s">
        <v>42</v>
      </c>
      <c r="P224" t="s">
        <v>43</v>
      </c>
      <c r="Q224">
        <v>52608</v>
      </c>
    </row>
    <row r="225" spans="1:17" x14ac:dyDescent="0.25">
      <c r="A225" t="s">
        <v>28</v>
      </c>
      <c r="B225" t="s">
        <v>38</v>
      </c>
      <c r="C225" t="s">
        <v>23</v>
      </c>
      <c r="D225">
        <v>13688</v>
      </c>
      <c r="N225" t="s">
        <v>30</v>
      </c>
      <c r="O225" t="s">
        <v>42</v>
      </c>
      <c r="P225" t="s">
        <v>44</v>
      </c>
      <c r="Q225">
        <v>59348</v>
      </c>
    </row>
    <row r="226" spans="1:17" x14ac:dyDescent="0.25">
      <c r="A226" t="s">
        <v>28</v>
      </c>
      <c r="B226" t="s">
        <v>38</v>
      </c>
      <c r="C226" t="s">
        <v>24</v>
      </c>
      <c r="D226">
        <v>13485</v>
      </c>
      <c r="N226" t="s">
        <v>30</v>
      </c>
      <c r="O226" t="s">
        <v>41</v>
      </c>
      <c r="P226" t="s">
        <v>18</v>
      </c>
      <c r="Q226">
        <v>164163</v>
      </c>
    </row>
    <row r="227" spans="1:17" x14ac:dyDescent="0.25">
      <c r="A227" t="s">
        <v>28</v>
      </c>
      <c r="B227" t="s">
        <v>38</v>
      </c>
      <c r="C227" t="s">
        <v>25</v>
      </c>
      <c r="D227">
        <v>13578</v>
      </c>
      <c r="N227" t="s">
        <v>30</v>
      </c>
      <c r="O227" t="s">
        <v>41</v>
      </c>
      <c r="P227" t="s">
        <v>19</v>
      </c>
      <c r="Q227">
        <v>159302</v>
      </c>
    </row>
    <row r="228" spans="1:17" x14ac:dyDescent="0.25">
      <c r="A228" t="s">
        <v>28</v>
      </c>
      <c r="B228" t="s">
        <v>38</v>
      </c>
      <c r="C228" t="s">
        <v>26</v>
      </c>
      <c r="D228">
        <v>13983</v>
      </c>
      <c r="N228" t="s">
        <v>30</v>
      </c>
      <c r="O228" t="s">
        <v>41</v>
      </c>
      <c r="P228" t="s">
        <v>20</v>
      </c>
      <c r="Q228">
        <v>159385</v>
      </c>
    </row>
    <row r="229" spans="1:17" x14ac:dyDescent="0.25">
      <c r="A229" t="s">
        <v>28</v>
      </c>
      <c r="B229" t="s">
        <v>38</v>
      </c>
      <c r="C229" t="s">
        <v>27</v>
      </c>
      <c r="D229">
        <v>11458</v>
      </c>
      <c r="N229" t="s">
        <v>30</v>
      </c>
      <c r="O229" t="s">
        <v>41</v>
      </c>
      <c r="P229" t="s">
        <v>21</v>
      </c>
      <c r="Q229">
        <v>155820</v>
      </c>
    </row>
    <row r="230" spans="1:17" x14ac:dyDescent="0.25">
      <c r="A230" t="s">
        <v>29</v>
      </c>
      <c r="B230" t="s">
        <v>38</v>
      </c>
      <c r="C230" t="s">
        <v>18</v>
      </c>
      <c r="D230">
        <v>5323</v>
      </c>
      <c r="N230" t="s">
        <v>30</v>
      </c>
      <c r="O230" t="s">
        <v>41</v>
      </c>
      <c r="P230" t="s">
        <v>22</v>
      </c>
      <c r="Q230">
        <v>148436</v>
      </c>
    </row>
    <row r="231" spans="1:17" x14ac:dyDescent="0.25">
      <c r="A231" t="s">
        <v>29</v>
      </c>
      <c r="B231" t="s">
        <v>38</v>
      </c>
      <c r="C231" t="s">
        <v>19</v>
      </c>
      <c r="D231">
        <v>5791</v>
      </c>
      <c r="N231" t="s">
        <v>30</v>
      </c>
      <c r="O231" t="s">
        <v>41</v>
      </c>
      <c r="P231" t="s">
        <v>23</v>
      </c>
      <c r="Q231">
        <v>142974</v>
      </c>
    </row>
    <row r="232" spans="1:17" x14ac:dyDescent="0.25">
      <c r="A232" t="s">
        <v>29</v>
      </c>
      <c r="B232" t="s">
        <v>38</v>
      </c>
      <c r="C232" t="s">
        <v>20</v>
      </c>
      <c r="D232">
        <v>5347</v>
      </c>
      <c r="N232" t="s">
        <v>30</v>
      </c>
      <c r="O232" t="s">
        <v>41</v>
      </c>
      <c r="P232" t="s">
        <v>24</v>
      </c>
      <c r="Q232">
        <v>135087</v>
      </c>
    </row>
    <row r="233" spans="1:17" x14ac:dyDescent="0.25">
      <c r="A233" t="s">
        <v>29</v>
      </c>
      <c r="B233" t="s">
        <v>38</v>
      </c>
      <c r="C233" t="s">
        <v>21</v>
      </c>
      <c r="D233">
        <v>5239</v>
      </c>
      <c r="N233" t="s">
        <v>30</v>
      </c>
      <c r="O233" t="s">
        <v>41</v>
      </c>
      <c r="P233" t="s">
        <v>25</v>
      </c>
      <c r="Q233">
        <v>134273</v>
      </c>
    </row>
    <row r="234" spans="1:17" x14ac:dyDescent="0.25">
      <c r="A234" t="s">
        <v>29</v>
      </c>
      <c r="B234" t="s">
        <v>38</v>
      </c>
      <c r="C234" t="s">
        <v>22</v>
      </c>
      <c r="D234">
        <v>4778</v>
      </c>
      <c r="N234" t="s">
        <v>30</v>
      </c>
      <c r="O234" t="s">
        <v>41</v>
      </c>
      <c r="P234" t="s">
        <v>26</v>
      </c>
      <c r="Q234">
        <v>129696</v>
      </c>
    </row>
    <row r="235" spans="1:17" x14ac:dyDescent="0.25">
      <c r="A235" t="s">
        <v>29</v>
      </c>
      <c r="B235" t="s">
        <v>38</v>
      </c>
      <c r="C235" t="s">
        <v>23</v>
      </c>
      <c r="D235">
        <v>5147</v>
      </c>
      <c r="N235" t="s">
        <v>30</v>
      </c>
      <c r="O235" t="s">
        <v>41</v>
      </c>
      <c r="P235" t="s">
        <v>27</v>
      </c>
      <c r="Q235">
        <v>106889</v>
      </c>
    </row>
    <row r="236" spans="1:17" x14ac:dyDescent="0.25">
      <c r="A236" t="s">
        <v>29</v>
      </c>
      <c r="B236" t="s">
        <v>38</v>
      </c>
      <c r="C236" t="s">
        <v>24</v>
      </c>
      <c r="D236">
        <v>5032</v>
      </c>
      <c r="N236" t="s">
        <v>30</v>
      </c>
      <c r="O236" t="s">
        <v>41</v>
      </c>
      <c r="P236" t="s">
        <v>43</v>
      </c>
      <c r="Q236">
        <v>115972</v>
      </c>
    </row>
    <row r="237" spans="1:17" x14ac:dyDescent="0.25">
      <c r="A237" t="s">
        <v>29</v>
      </c>
      <c r="B237" t="s">
        <v>38</v>
      </c>
      <c r="C237" t="s">
        <v>25</v>
      </c>
      <c r="D237">
        <v>5339</v>
      </c>
      <c r="N237" t="s">
        <v>30</v>
      </c>
      <c r="O237" t="s">
        <v>41</v>
      </c>
      <c r="P237" t="s">
        <v>44</v>
      </c>
      <c r="Q237">
        <v>128695</v>
      </c>
    </row>
    <row r="238" spans="1:17" x14ac:dyDescent="0.25">
      <c r="A238" t="s">
        <v>29</v>
      </c>
      <c r="B238" t="s">
        <v>38</v>
      </c>
      <c r="C238" t="s">
        <v>26</v>
      </c>
      <c r="D238">
        <v>5119</v>
      </c>
      <c r="N238" t="s">
        <v>30</v>
      </c>
      <c r="O238" t="s">
        <v>40</v>
      </c>
      <c r="P238" t="s">
        <v>18</v>
      </c>
      <c r="Q238">
        <v>147690</v>
      </c>
    </row>
    <row r="239" spans="1:17" x14ac:dyDescent="0.25">
      <c r="A239" t="s">
        <v>29</v>
      </c>
      <c r="B239" t="s">
        <v>38</v>
      </c>
      <c r="C239" t="s">
        <v>27</v>
      </c>
      <c r="D239">
        <v>3992</v>
      </c>
      <c r="N239" t="s">
        <v>30</v>
      </c>
      <c r="O239" t="s">
        <v>40</v>
      </c>
      <c r="P239" t="s">
        <v>19</v>
      </c>
      <c r="Q239">
        <v>153759</v>
      </c>
    </row>
    <row r="240" spans="1:17" x14ac:dyDescent="0.25">
      <c r="A240" t="s">
        <v>30</v>
      </c>
      <c r="B240" t="s">
        <v>38</v>
      </c>
      <c r="C240" t="s">
        <v>18</v>
      </c>
      <c r="D240">
        <v>35148</v>
      </c>
      <c r="N240" t="s">
        <v>30</v>
      </c>
      <c r="O240" t="s">
        <v>40</v>
      </c>
      <c r="P240" t="s">
        <v>20</v>
      </c>
      <c r="Q240">
        <v>155188</v>
      </c>
    </row>
    <row r="241" spans="1:17" x14ac:dyDescent="0.25">
      <c r="A241" t="s">
        <v>30</v>
      </c>
      <c r="B241" t="s">
        <v>38</v>
      </c>
      <c r="C241" t="s">
        <v>19</v>
      </c>
      <c r="D241">
        <v>35717</v>
      </c>
      <c r="N241" t="s">
        <v>30</v>
      </c>
      <c r="O241" t="s">
        <v>40</v>
      </c>
      <c r="P241" t="s">
        <v>21</v>
      </c>
      <c r="Q241">
        <v>155912</v>
      </c>
    </row>
    <row r="242" spans="1:17" x14ac:dyDescent="0.25">
      <c r="A242" t="s">
        <v>30</v>
      </c>
      <c r="B242" t="s">
        <v>38</v>
      </c>
      <c r="C242" t="s">
        <v>20</v>
      </c>
      <c r="D242">
        <v>42506</v>
      </c>
      <c r="N242" t="s">
        <v>30</v>
      </c>
      <c r="O242" t="s">
        <v>40</v>
      </c>
      <c r="P242" t="s">
        <v>22</v>
      </c>
      <c r="Q242">
        <v>150955</v>
      </c>
    </row>
    <row r="243" spans="1:17" x14ac:dyDescent="0.25">
      <c r="A243" t="s">
        <v>30</v>
      </c>
      <c r="B243" t="s">
        <v>38</v>
      </c>
      <c r="C243" t="s">
        <v>21</v>
      </c>
      <c r="D243">
        <v>47362</v>
      </c>
      <c r="N243" t="s">
        <v>30</v>
      </c>
      <c r="O243" t="s">
        <v>40</v>
      </c>
      <c r="P243" t="s">
        <v>23</v>
      </c>
      <c r="Q243">
        <v>154761</v>
      </c>
    </row>
    <row r="244" spans="1:17" x14ac:dyDescent="0.25">
      <c r="A244" t="s">
        <v>30</v>
      </c>
      <c r="B244" t="s">
        <v>38</v>
      </c>
      <c r="C244" t="s">
        <v>22</v>
      </c>
      <c r="D244">
        <v>49792</v>
      </c>
      <c r="N244" t="s">
        <v>30</v>
      </c>
      <c r="O244" t="s">
        <v>40</v>
      </c>
      <c r="P244" t="s">
        <v>24</v>
      </c>
      <c r="Q244">
        <v>140476</v>
      </c>
    </row>
    <row r="245" spans="1:17" x14ac:dyDescent="0.25">
      <c r="A245" t="s">
        <v>30</v>
      </c>
      <c r="B245" t="s">
        <v>38</v>
      </c>
      <c r="C245" t="s">
        <v>23</v>
      </c>
      <c r="D245">
        <v>53793</v>
      </c>
      <c r="N245" t="s">
        <v>30</v>
      </c>
      <c r="O245" t="s">
        <v>40</v>
      </c>
      <c r="P245" t="s">
        <v>25</v>
      </c>
      <c r="Q245">
        <v>133563</v>
      </c>
    </row>
    <row r="246" spans="1:17" x14ac:dyDescent="0.25">
      <c r="A246" t="s">
        <v>30</v>
      </c>
      <c r="B246" t="s">
        <v>38</v>
      </c>
      <c r="C246" t="s">
        <v>24</v>
      </c>
      <c r="D246">
        <v>51706</v>
      </c>
      <c r="N246" t="s">
        <v>30</v>
      </c>
      <c r="O246" t="s">
        <v>40</v>
      </c>
      <c r="P246" t="s">
        <v>26</v>
      </c>
      <c r="Q246">
        <v>126844</v>
      </c>
    </row>
    <row r="247" spans="1:17" x14ac:dyDescent="0.25">
      <c r="A247" t="s">
        <v>30</v>
      </c>
      <c r="B247" t="s">
        <v>38</v>
      </c>
      <c r="C247" t="s">
        <v>25</v>
      </c>
      <c r="D247">
        <v>52040</v>
      </c>
      <c r="N247" t="s">
        <v>30</v>
      </c>
      <c r="O247" t="s">
        <v>40</v>
      </c>
      <c r="P247" t="s">
        <v>27</v>
      </c>
      <c r="Q247">
        <v>90906</v>
      </c>
    </row>
    <row r="248" spans="1:17" x14ac:dyDescent="0.25">
      <c r="A248" t="s">
        <v>30</v>
      </c>
      <c r="B248" t="s">
        <v>38</v>
      </c>
      <c r="C248" t="s">
        <v>26</v>
      </c>
      <c r="D248">
        <v>53927</v>
      </c>
      <c r="N248" t="s">
        <v>30</v>
      </c>
      <c r="O248" t="s">
        <v>40</v>
      </c>
      <c r="P248" t="s">
        <v>43</v>
      </c>
      <c r="Q248">
        <v>91075</v>
      </c>
    </row>
    <row r="249" spans="1:17" x14ac:dyDescent="0.25">
      <c r="A249" t="s">
        <v>30</v>
      </c>
      <c r="B249" t="s">
        <v>38</v>
      </c>
      <c r="C249" t="s">
        <v>27</v>
      </c>
      <c r="D249">
        <v>44109</v>
      </c>
      <c r="N249" t="s">
        <v>30</v>
      </c>
      <c r="O249" t="s">
        <v>40</v>
      </c>
      <c r="P249" t="s">
        <v>44</v>
      </c>
      <c r="Q249">
        <v>94057</v>
      </c>
    </row>
    <row r="250" spans="1:17" x14ac:dyDescent="0.25">
      <c r="A250" t="s">
        <v>31</v>
      </c>
      <c r="B250" t="s">
        <v>38</v>
      </c>
      <c r="C250" t="s">
        <v>18</v>
      </c>
      <c r="D250">
        <v>18417</v>
      </c>
      <c r="N250" t="s">
        <v>30</v>
      </c>
      <c r="O250" t="s">
        <v>37</v>
      </c>
      <c r="P250" t="s">
        <v>18</v>
      </c>
      <c r="Q250">
        <v>11512</v>
      </c>
    </row>
    <row r="251" spans="1:17" x14ac:dyDescent="0.25">
      <c r="A251" t="s">
        <v>31</v>
      </c>
      <c r="B251" t="s">
        <v>38</v>
      </c>
      <c r="C251" t="s">
        <v>19</v>
      </c>
      <c r="D251">
        <v>19923</v>
      </c>
      <c r="N251" t="s">
        <v>30</v>
      </c>
      <c r="O251" t="s">
        <v>37</v>
      </c>
      <c r="P251" t="s">
        <v>19</v>
      </c>
      <c r="Q251">
        <v>11113</v>
      </c>
    </row>
    <row r="252" spans="1:17" x14ac:dyDescent="0.25">
      <c r="A252" t="s">
        <v>31</v>
      </c>
      <c r="B252" t="s">
        <v>38</v>
      </c>
      <c r="C252" t="s">
        <v>20</v>
      </c>
      <c r="D252">
        <v>20957</v>
      </c>
      <c r="N252" t="s">
        <v>30</v>
      </c>
      <c r="O252" t="s">
        <v>37</v>
      </c>
      <c r="P252" t="s">
        <v>20</v>
      </c>
      <c r="Q252">
        <v>10264</v>
      </c>
    </row>
    <row r="253" spans="1:17" x14ac:dyDescent="0.25">
      <c r="A253" t="s">
        <v>31</v>
      </c>
      <c r="B253" t="s">
        <v>38</v>
      </c>
      <c r="C253" t="s">
        <v>21</v>
      </c>
      <c r="D253">
        <v>20881</v>
      </c>
      <c r="N253" t="s">
        <v>30</v>
      </c>
      <c r="O253" t="s">
        <v>37</v>
      </c>
      <c r="P253" t="s">
        <v>21</v>
      </c>
      <c r="Q253">
        <v>9902</v>
      </c>
    </row>
    <row r="254" spans="1:17" x14ac:dyDescent="0.25">
      <c r="A254" t="s">
        <v>31</v>
      </c>
      <c r="B254" t="s">
        <v>38</v>
      </c>
      <c r="C254" t="s">
        <v>22</v>
      </c>
      <c r="D254">
        <v>21061</v>
      </c>
      <c r="N254" t="s">
        <v>30</v>
      </c>
      <c r="O254" t="s">
        <v>37</v>
      </c>
      <c r="P254" t="s">
        <v>22</v>
      </c>
      <c r="Q254">
        <v>9510</v>
      </c>
    </row>
    <row r="255" spans="1:17" x14ac:dyDescent="0.25">
      <c r="A255" t="s">
        <v>31</v>
      </c>
      <c r="B255" t="s">
        <v>38</v>
      </c>
      <c r="C255" t="s">
        <v>23</v>
      </c>
      <c r="D255">
        <v>22327</v>
      </c>
      <c r="N255" t="s">
        <v>30</v>
      </c>
      <c r="O255" t="s">
        <v>37</v>
      </c>
      <c r="P255" t="s">
        <v>23</v>
      </c>
      <c r="Q255">
        <v>9566</v>
      </c>
    </row>
    <row r="256" spans="1:17" x14ac:dyDescent="0.25">
      <c r="A256" t="s">
        <v>31</v>
      </c>
      <c r="B256" t="s">
        <v>38</v>
      </c>
      <c r="C256" t="s">
        <v>24</v>
      </c>
      <c r="D256">
        <v>21543</v>
      </c>
      <c r="N256" t="s">
        <v>30</v>
      </c>
      <c r="O256" t="s">
        <v>37</v>
      </c>
      <c r="P256" t="s">
        <v>24</v>
      </c>
      <c r="Q256">
        <v>10116</v>
      </c>
    </row>
    <row r="257" spans="1:17" x14ac:dyDescent="0.25">
      <c r="A257" t="s">
        <v>31</v>
      </c>
      <c r="B257" t="s">
        <v>38</v>
      </c>
      <c r="C257" t="s">
        <v>25</v>
      </c>
      <c r="D257">
        <v>22110</v>
      </c>
      <c r="N257" t="s">
        <v>30</v>
      </c>
      <c r="O257" t="s">
        <v>37</v>
      </c>
      <c r="P257" t="s">
        <v>25</v>
      </c>
      <c r="Q257">
        <v>10752</v>
      </c>
    </row>
    <row r="258" spans="1:17" x14ac:dyDescent="0.25">
      <c r="A258" t="s">
        <v>31</v>
      </c>
      <c r="B258" t="s">
        <v>38</v>
      </c>
      <c r="C258" t="s">
        <v>26</v>
      </c>
      <c r="D258">
        <v>22824</v>
      </c>
      <c r="N258" t="s">
        <v>30</v>
      </c>
      <c r="O258" t="s">
        <v>37</v>
      </c>
      <c r="P258" t="s">
        <v>26</v>
      </c>
      <c r="Q258">
        <v>10810</v>
      </c>
    </row>
    <row r="259" spans="1:17" x14ac:dyDescent="0.25">
      <c r="A259" t="s">
        <v>31</v>
      </c>
      <c r="B259" t="s">
        <v>38</v>
      </c>
      <c r="C259" t="s">
        <v>27</v>
      </c>
      <c r="D259">
        <v>20964</v>
      </c>
      <c r="N259" t="s">
        <v>30</v>
      </c>
      <c r="O259" t="s">
        <v>37</v>
      </c>
      <c r="P259" t="s">
        <v>27</v>
      </c>
      <c r="Q259">
        <v>9749</v>
      </c>
    </row>
    <row r="260" spans="1:17" x14ac:dyDescent="0.25">
      <c r="A260" t="s">
        <v>32</v>
      </c>
      <c r="B260" t="s">
        <v>38</v>
      </c>
      <c r="C260" t="s">
        <v>18</v>
      </c>
      <c r="D260">
        <v>3652</v>
      </c>
      <c r="N260" t="s">
        <v>30</v>
      </c>
      <c r="O260" t="s">
        <v>37</v>
      </c>
      <c r="P260" t="s">
        <v>43</v>
      </c>
      <c r="Q260">
        <v>11178</v>
      </c>
    </row>
    <row r="261" spans="1:17" x14ac:dyDescent="0.25">
      <c r="A261" t="s">
        <v>32</v>
      </c>
      <c r="B261" t="s">
        <v>38</v>
      </c>
      <c r="C261" t="s">
        <v>19</v>
      </c>
      <c r="D261">
        <v>3917</v>
      </c>
      <c r="N261" t="s">
        <v>30</v>
      </c>
      <c r="O261" t="s">
        <v>37</v>
      </c>
      <c r="P261" t="s">
        <v>44</v>
      </c>
      <c r="Q261">
        <v>11160</v>
      </c>
    </row>
    <row r="262" spans="1:17" x14ac:dyDescent="0.25">
      <c r="A262" t="s">
        <v>32</v>
      </c>
      <c r="B262" t="s">
        <v>38</v>
      </c>
      <c r="C262" t="s">
        <v>20</v>
      </c>
      <c r="D262">
        <v>5163</v>
      </c>
      <c r="N262" t="s">
        <v>31</v>
      </c>
      <c r="O262" t="s">
        <v>38</v>
      </c>
      <c r="P262" t="s">
        <v>18</v>
      </c>
      <c r="Q262">
        <v>18417</v>
      </c>
    </row>
    <row r="263" spans="1:17" x14ac:dyDescent="0.25">
      <c r="A263" t="s">
        <v>32</v>
      </c>
      <c r="B263" t="s">
        <v>38</v>
      </c>
      <c r="C263" t="s">
        <v>21</v>
      </c>
      <c r="D263">
        <v>6123</v>
      </c>
      <c r="N263" t="s">
        <v>31</v>
      </c>
      <c r="O263" t="s">
        <v>38</v>
      </c>
      <c r="P263" t="s">
        <v>19</v>
      </c>
      <c r="Q263">
        <v>19923</v>
      </c>
    </row>
    <row r="264" spans="1:17" x14ac:dyDescent="0.25">
      <c r="A264" t="s">
        <v>32</v>
      </c>
      <c r="B264" t="s">
        <v>38</v>
      </c>
      <c r="C264" t="s">
        <v>22</v>
      </c>
      <c r="D264">
        <v>6723</v>
      </c>
      <c r="N264" t="s">
        <v>31</v>
      </c>
      <c r="O264" t="s">
        <v>38</v>
      </c>
      <c r="P264" t="s">
        <v>20</v>
      </c>
      <c r="Q264">
        <v>20957</v>
      </c>
    </row>
    <row r="265" spans="1:17" x14ac:dyDescent="0.25">
      <c r="A265" t="s">
        <v>32</v>
      </c>
      <c r="B265" t="s">
        <v>38</v>
      </c>
      <c r="C265" t="s">
        <v>23</v>
      </c>
      <c r="D265">
        <v>6745</v>
      </c>
      <c r="N265" t="s">
        <v>31</v>
      </c>
      <c r="O265" t="s">
        <v>38</v>
      </c>
      <c r="P265" t="s">
        <v>21</v>
      </c>
      <c r="Q265">
        <v>20881</v>
      </c>
    </row>
    <row r="266" spans="1:17" x14ac:dyDescent="0.25">
      <c r="A266" t="s">
        <v>32</v>
      </c>
      <c r="B266" t="s">
        <v>38</v>
      </c>
      <c r="C266" t="s">
        <v>24</v>
      </c>
      <c r="D266">
        <v>7048</v>
      </c>
      <c r="N266" t="s">
        <v>31</v>
      </c>
      <c r="O266" t="s">
        <v>38</v>
      </c>
      <c r="P266" t="s">
        <v>22</v>
      </c>
      <c r="Q266">
        <v>21061</v>
      </c>
    </row>
    <row r="267" spans="1:17" x14ac:dyDescent="0.25">
      <c r="A267" t="s">
        <v>32</v>
      </c>
      <c r="B267" t="s">
        <v>38</v>
      </c>
      <c r="C267" t="s">
        <v>25</v>
      </c>
      <c r="D267">
        <v>7006</v>
      </c>
      <c r="N267" t="s">
        <v>31</v>
      </c>
      <c r="O267" t="s">
        <v>38</v>
      </c>
      <c r="P267" t="s">
        <v>23</v>
      </c>
      <c r="Q267">
        <v>22327</v>
      </c>
    </row>
    <row r="268" spans="1:17" x14ac:dyDescent="0.25">
      <c r="A268" t="s">
        <v>32</v>
      </c>
      <c r="B268" t="s">
        <v>38</v>
      </c>
      <c r="C268" t="s">
        <v>26</v>
      </c>
      <c r="D268">
        <v>7466</v>
      </c>
      <c r="N268" t="s">
        <v>31</v>
      </c>
      <c r="O268" t="s">
        <v>38</v>
      </c>
      <c r="P268" t="s">
        <v>24</v>
      </c>
      <c r="Q268">
        <v>21543</v>
      </c>
    </row>
    <row r="269" spans="1:17" x14ac:dyDescent="0.25">
      <c r="A269" t="s">
        <v>32</v>
      </c>
      <c r="B269" t="s">
        <v>38</v>
      </c>
      <c r="C269" t="s">
        <v>27</v>
      </c>
      <c r="D269">
        <v>6105</v>
      </c>
      <c r="N269" t="s">
        <v>31</v>
      </c>
      <c r="O269" t="s">
        <v>38</v>
      </c>
      <c r="P269" t="s">
        <v>25</v>
      </c>
      <c r="Q269">
        <v>22110</v>
      </c>
    </row>
    <row r="270" spans="1:17" x14ac:dyDescent="0.25">
      <c r="A270" t="s">
        <v>33</v>
      </c>
      <c r="B270" t="s">
        <v>38</v>
      </c>
      <c r="C270" t="s">
        <v>18</v>
      </c>
      <c r="D270">
        <v>5681</v>
      </c>
      <c r="N270" t="s">
        <v>31</v>
      </c>
      <c r="O270" t="s">
        <v>38</v>
      </c>
      <c r="P270" t="s">
        <v>26</v>
      </c>
      <c r="Q270">
        <v>22824</v>
      </c>
    </row>
    <row r="271" spans="1:17" x14ac:dyDescent="0.25">
      <c r="A271" t="s">
        <v>33</v>
      </c>
      <c r="B271" t="s">
        <v>38</v>
      </c>
      <c r="C271" t="s">
        <v>19</v>
      </c>
      <c r="D271">
        <v>5198</v>
      </c>
      <c r="N271" t="s">
        <v>31</v>
      </c>
      <c r="O271" t="s">
        <v>38</v>
      </c>
      <c r="P271" t="s">
        <v>27</v>
      </c>
      <c r="Q271">
        <v>20964</v>
      </c>
    </row>
    <row r="272" spans="1:17" x14ac:dyDescent="0.25">
      <c r="A272" t="s">
        <v>33</v>
      </c>
      <c r="B272" t="s">
        <v>38</v>
      </c>
      <c r="C272" t="s">
        <v>20</v>
      </c>
      <c r="D272">
        <v>5252</v>
      </c>
      <c r="N272" t="s">
        <v>31</v>
      </c>
      <c r="O272" t="s">
        <v>38</v>
      </c>
      <c r="P272" t="s">
        <v>43</v>
      </c>
      <c r="Q272">
        <v>12027</v>
      </c>
    </row>
    <row r="273" spans="1:17" x14ac:dyDescent="0.25">
      <c r="A273" t="s">
        <v>33</v>
      </c>
      <c r="B273" t="s">
        <v>38</v>
      </c>
      <c r="C273" t="s">
        <v>21</v>
      </c>
      <c r="D273">
        <v>5656</v>
      </c>
      <c r="N273" t="s">
        <v>31</v>
      </c>
      <c r="O273" t="s">
        <v>38</v>
      </c>
      <c r="P273" t="s">
        <v>44</v>
      </c>
      <c r="Q273">
        <v>13372</v>
      </c>
    </row>
    <row r="274" spans="1:17" x14ac:dyDescent="0.25">
      <c r="A274" t="s">
        <v>33</v>
      </c>
      <c r="B274" t="s">
        <v>38</v>
      </c>
      <c r="C274" t="s">
        <v>22</v>
      </c>
      <c r="D274">
        <v>5996</v>
      </c>
      <c r="N274" t="s">
        <v>31</v>
      </c>
      <c r="O274" t="s">
        <v>17</v>
      </c>
      <c r="P274" t="s">
        <v>18</v>
      </c>
      <c r="Q274">
        <v>105443</v>
      </c>
    </row>
    <row r="275" spans="1:17" x14ac:dyDescent="0.25">
      <c r="A275" t="s">
        <v>33</v>
      </c>
      <c r="B275" t="s">
        <v>38</v>
      </c>
      <c r="C275" t="s">
        <v>23</v>
      </c>
      <c r="D275">
        <v>6702</v>
      </c>
      <c r="N275" t="s">
        <v>31</v>
      </c>
      <c r="O275" t="s">
        <v>17</v>
      </c>
      <c r="P275" t="s">
        <v>19</v>
      </c>
      <c r="Q275">
        <v>105444</v>
      </c>
    </row>
    <row r="276" spans="1:17" x14ac:dyDescent="0.25">
      <c r="A276" t="s">
        <v>33</v>
      </c>
      <c r="B276" t="s">
        <v>38</v>
      </c>
      <c r="C276" t="s">
        <v>24</v>
      </c>
      <c r="D276">
        <v>6757</v>
      </c>
      <c r="N276" t="s">
        <v>31</v>
      </c>
      <c r="O276" t="s">
        <v>17</v>
      </c>
      <c r="P276" t="s">
        <v>20</v>
      </c>
      <c r="Q276">
        <v>101983</v>
      </c>
    </row>
    <row r="277" spans="1:17" x14ac:dyDescent="0.25">
      <c r="A277" t="s">
        <v>33</v>
      </c>
      <c r="B277" t="s">
        <v>38</v>
      </c>
      <c r="C277" t="s">
        <v>25</v>
      </c>
      <c r="D277">
        <v>7091</v>
      </c>
      <c r="N277" t="s">
        <v>31</v>
      </c>
      <c r="O277" t="s">
        <v>17</v>
      </c>
      <c r="P277" t="s">
        <v>21</v>
      </c>
      <c r="Q277">
        <v>98757</v>
      </c>
    </row>
    <row r="278" spans="1:17" x14ac:dyDescent="0.25">
      <c r="A278" t="s">
        <v>33</v>
      </c>
      <c r="B278" t="s">
        <v>38</v>
      </c>
      <c r="C278" t="s">
        <v>26</v>
      </c>
      <c r="D278">
        <v>7672</v>
      </c>
      <c r="N278" t="s">
        <v>31</v>
      </c>
      <c r="O278" t="s">
        <v>17</v>
      </c>
      <c r="P278" t="s">
        <v>22</v>
      </c>
      <c r="Q278">
        <v>97870</v>
      </c>
    </row>
    <row r="279" spans="1:17" x14ac:dyDescent="0.25">
      <c r="A279" t="s">
        <v>33</v>
      </c>
      <c r="B279" t="s">
        <v>38</v>
      </c>
      <c r="C279" t="s">
        <v>27</v>
      </c>
      <c r="D279">
        <v>7004</v>
      </c>
      <c r="N279" t="s">
        <v>31</v>
      </c>
      <c r="O279" t="s">
        <v>17</v>
      </c>
      <c r="P279" t="s">
        <v>23</v>
      </c>
      <c r="Q279">
        <v>95153</v>
      </c>
    </row>
    <row r="280" spans="1:17" x14ac:dyDescent="0.25">
      <c r="A280" t="s">
        <v>34</v>
      </c>
      <c r="B280" t="s">
        <v>38</v>
      </c>
      <c r="C280" t="s">
        <v>18</v>
      </c>
      <c r="D280">
        <v>5366</v>
      </c>
      <c r="N280" t="s">
        <v>31</v>
      </c>
      <c r="O280" t="s">
        <v>17</v>
      </c>
      <c r="P280" t="s">
        <v>24</v>
      </c>
      <c r="Q280">
        <v>94914</v>
      </c>
    </row>
    <row r="281" spans="1:17" x14ac:dyDescent="0.25">
      <c r="A281" t="s">
        <v>34</v>
      </c>
      <c r="B281" t="s">
        <v>38</v>
      </c>
      <c r="C281" t="s">
        <v>19</v>
      </c>
      <c r="D281">
        <v>5271</v>
      </c>
      <c r="N281" t="s">
        <v>31</v>
      </c>
      <c r="O281" t="s">
        <v>17</v>
      </c>
      <c r="P281" t="s">
        <v>25</v>
      </c>
      <c r="Q281">
        <v>97505</v>
      </c>
    </row>
    <row r="282" spans="1:17" x14ac:dyDescent="0.25">
      <c r="A282" t="s">
        <v>34</v>
      </c>
      <c r="B282" t="s">
        <v>38</v>
      </c>
      <c r="C282" t="s">
        <v>20</v>
      </c>
      <c r="D282">
        <v>5409</v>
      </c>
      <c r="N282" t="s">
        <v>31</v>
      </c>
      <c r="O282" t="s">
        <v>17</v>
      </c>
      <c r="P282" t="s">
        <v>26</v>
      </c>
      <c r="Q282">
        <v>101154</v>
      </c>
    </row>
    <row r="283" spans="1:17" x14ac:dyDescent="0.25">
      <c r="A283" t="s">
        <v>34</v>
      </c>
      <c r="B283" t="s">
        <v>38</v>
      </c>
      <c r="C283" t="s">
        <v>21</v>
      </c>
      <c r="D283">
        <v>5977</v>
      </c>
      <c r="N283" t="s">
        <v>31</v>
      </c>
      <c r="O283" t="s">
        <v>17</v>
      </c>
      <c r="P283" t="s">
        <v>27</v>
      </c>
      <c r="Q283">
        <v>88851</v>
      </c>
    </row>
    <row r="284" spans="1:17" x14ac:dyDescent="0.25">
      <c r="A284" t="s">
        <v>34</v>
      </c>
      <c r="B284" t="s">
        <v>38</v>
      </c>
      <c r="C284" t="s">
        <v>22</v>
      </c>
      <c r="D284">
        <v>6281</v>
      </c>
      <c r="N284" t="s">
        <v>31</v>
      </c>
      <c r="O284" t="s">
        <v>17</v>
      </c>
      <c r="P284" t="s">
        <v>43</v>
      </c>
      <c r="Q284">
        <v>103725</v>
      </c>
    </row>
    <row r="285" spans="1:17" x14ac:dyDescent="0.25">
      <c r="A285" t="s">
        <v>34</v>
      </c>
      <c r="B285" t="s">
        <v>38</v>
      </c>
      <c r="C285" t="s">
        <v>23</v>
      </c>
      <c r="D285">
        <v>7017</v>
      </c>
      <c r="N285" t="s">
        <v>31</v>
      </c>
      <c r="O285" t="s">
        <v>17</v>
      </c>
      <c r="P285" t="s">
        <v>44</v>
      </c>
      <c r="Q285">
        <v>109916</v>
      </c>
    </row>
    <row r="286" spans="1:17" x14ac:dyDescent="0.25">
      <c r="A286" t="s">
        <v>34</v>
      </c>
      <c r="B286" t="s">
        <v>38</v>
      </c>
      <c r="C286" t="s">
        <v>24</v>
      </c>
      <c r="D286">
        <v>6825</v>
      </c>
      <c r="N286" t="s">
        <v>31</v>
      </c>
      <c r="O286" t="s">
        <v>39</v>
      </c>
      <c r="P286" t="s">
        <v>18</v>
      </c>
      <c r="Q286">
        <v>16424</v>
      </c>
    </row>
    <row r="287" spans="1:17" x14ac:dyDescent="0.25">
      <c r="A287" t="s">
        <v>34</v>
      </c>
      <c r="B287" t="s">
        <v>38</v>
      </c>
      <c r="C287" t="s">
        <v>25</v>
      </c>
      <c r="D287">
        <v>7023</v>
      </c>
      <c r="N287" t="s">
        <v>31</v>
      </c>
      <c r="O287" t="s">
        <v>39</v>
      </c>
      <c r="P287" t="s">
        <v>19</v>
      </c>
      <c r="Q287">
        <v>16616</v>
      </c>
    </row>
    <row r="288" spans="1:17" x14ac:dyDescent="0.25">
      <c r="A288" t="s">
        <v>34</v>
      </c>
      <c r="B288" t="s">
        <v>38</v>
      </c>
      <c r="C288" t="s">
        <v>26</v>
      </c>
      <c r="D288">
        <v>6807</v>
      </c>
      <c r="N288" t="s">
        <v>31</v>
      </c>
      <c r="O288" t="s">
        <v>39</v>
      </c>
      <c r="P288" t="s">
        <v>20</v>
      </c>
      <c r="Q288">
        <v>15850</v>
      </c>
    </row>
    <row r="289" spans="1:17" x14ac:dyDescent="0.25">
      <c r="A289" t="s">
        <v>34</v>
      </c>
      <c r="B289" t="s">
        <v>38</v>
      </c>
      <c r="C289" t="s">
        <v>27</v>
      </c>
      <c r="D289">
        <v>5733</v>
      </c>
      <c r="N289" t="s">
        <v>31</v>
      </c>
      <c r="O289" t="s">
        <v>39</v>
      </c>
      <c r="P289" t="s">
        <v>21</v>
      </c>
      <c r="Q289">
        <v>15459</v>
      </c>
    </row>
    <row r="290" spans="1:17" x14ac:dyDescent="0.25">
      <c r="A290" t="s">
        <v>35</v>
      </c>
      <c r="B290" t="s">
        <v>38</v>
      </c>
      <c r="C290" t="s">
        <v>18</v>
      </c>
      <c r="D290">
        <v>967</v>
      </c>
      <c r="N290" t="s">
        <v>31</v>
      </c>
      <c r="O290" t="s">
        <v>39</v>
      </c>
      <c r="P290" t="s">
        <v>22</v>
      </c>
      <c r="Q290">
        <v>15534</v>
      </c>
    </row>
    <row r="291" spans="1:17" x14ac:dyDescent="0.25">
      <c r="A291" t="s">
        <v>35</v>
      </c>
      <c r="B291" t="s">
        <v>38</v>
      </c>
      <c r="C291" t="s">
        <v>19</v>
      </c>
      <c r="D291">
        <v>1239</v>
      </c>
      <c r="N291" t="s">
        <v>31</v>
      </c>
      <c r="O291" t="s">
        <v>39</v>
      </c>
      <c r="P291" t="s">
        <v>23</v>
      </c>
      <c r="Q291">
        <v>14709</v>
      </c>
    </row>
    <row r="292" spans="1:17" x14ac:dyDescent="0.25">
      <c r="A292" t="s">
        <v>35</v>
      </c>
      <c r="B292" t="s">
        <v>38</v>
      </c>
      <c r="C292" t="s">
        <v>20</v>
      </c>
      <c r="D292">
        <v>1402</v>
      </c>
      <c r="N292" t="s">
        <v>31</v>
      </c>
      <c r="O292" t="s">
        <v>39</v>
      </c>
      <c r="P292" t="s">
        <v>24</v>
      </c>
      <c r="Q292">
        <v>13637</v>
      </c>
    </row>
    <row r="293" spans="1:17" x14ac:dyDescent="0.25">
      <c r="A293" t="s">
        <v>35</v>
      </c>
      <c r="B293" t="s">
        <v>38</v>
      </c>
      <c r="C293" t="s">
        <v>21</v>
      </c>
      <c r="D293">
        <v>1446</v>
      </c>
      <c r="N293" t="s">
        <v>31</v>
      </c>
      <c r="O293" t="s">
        <v>39</v>
      </c>
      <c r="P293" t="s">
        <v>25</v>
      </c>
      <c r="Q293">
        <v>14458</v>
      </c>
    </row>
    <row r="294" spans="1:17" x14ac:dyDescent="0.25">
      <c r="A294" t="s">
        <v>35</v>
      </c>
      <c r="B294" t="s">
        <v>38</v>
      </c>
      <c r="C294" t="s">
        <v>22</v>
      </c>
      <c r="D294">
        <v>1387</v>
      </c>
      <c r="N294" t="s">
        <v>31</v>
      </c>
      <c r="O294" t="s">
        <v>39</v>
      </c>
      <c r="P294" t="s">
        <v>26</v>
      </c>
      <c r="Q294">
        <v>14120</v>
      </c>
    </row>
    <row r="295" spans="1:17" x14ac:dyDescent="0.25">
      <c r="A295" t="s">
        <v>35</v>
      </c>
      <c r="B295" t="s">
        <v>38</v>
      </c>
      <c r="C295" t="s">
        <v>23</v>
      </c>
      <c r="D295">
        <v>1505</v>
      </c>
      <c r="N295" t="s">
        <v>31</v>
      </c>
      <c r="O295" t="s">
        <v>39</v>
      </c>
      <c r="P295" t="s">
        <v>27</v>
      </c>
      <c r="Q295">
        <v>13227</v>
      </c>
    </row>
    <row r="296" spans="1:17" x14ac:dyDescent="0.25">
      <c r="A296" t="s">
        <v>35</v>
      </c>
      <c r="B296" t="s">
        <v>38</v>
      </c>
      <c r="C296" t="s">
        <v>24</v>
      </c>
      <c r="D296">
        <v>1639</v>
      </c>
      <c r="N296" t="s">
        <v>31</v>
      </c>
      <c r="O296" t="s">
        <v>39</v>
      </c>
      <c r="P296" t="s">
        <v>43</v>
      </c>
      <c r="Q296">
        <v>16512</v>
      </c>
    </row>
    <row r="297" spans="1:17" x14ac:dyDescent="0.25">
      <c r="A297" t="s">
        <v>35</v>
      </c>
      <c r="B297" t="s">
        <v>38</v>
      </c>
      <c r="C297" t="s">
        <v>25</v>
      </c>
      <c r="D297">
        <v>1780</v>
      </c>
      <c r="N297" t="s">
        <v>31</v>
      </c>
      <c r="O297" t="s">
        <v>39</v>
      </c>
      <c r="P297" t="s">
        <v>44</v>
      </c>
      <c r="Q297">
        <v>14749</v>
      </c>
    </row>
    <row r="298" spans="1:17" x14ac:dyDescent="0.25">
      <c r="A298" t="s">
        <v>35</v>
      </c>
      <c r="B298" t="s">
        <v>38</v>
      </c>
      <c r="C298" t="s">
        <v>26</v>
      </c>
      <c r="D298">
        <v>1643</v>
      </c>
      <c r="N298" t="s">
        <v>31</v>
      </c>
      <c r="O298" t="s">
        <v>42</v>
      </c>
      <c r="P298" t="s">
        <v>18</v>
      </c>
      <c r="Q298">
        <v>55907</v>
      </c>
    </row>
    <row r="299" spans="1:17" x14ac:dyDescent="0.25">
      <c r="A299" t="s">
        <v>35</v>
      </c>
      <c r="B299" t="s">
        <v>38</v>
      </c>
      <c r="C299" t="s">
        <v>27</v>
      </c>
      <c r="D299">
        <v>1426</v>
      </c>
      <c r="N299" t="s">
        <v>31</v>
      </c>
      <c r="O299" t="s">
        <v>42</v>
      </c>
      <c r="P299" t="s">
        <v>19</v>
      </c>
      <c r="Q299">
        <v>62908</v>
      </c>
    </row>
    <row r="300" spans="1:17" x14ac:dyDescent="0.25">
      <c r="A300" t="s">
        <v>36</v>
      </c>
      <c r="B300" t="s">
        <v>38</v>
      </c>
      <c r="C300" t="s">
        <v>18</v>
      </c>
      <c r="D300">
        <v>13739</v>
      </c>
      <c r="N300" t="s">
        <v>31</v>
      </c>
      <c r="O300" t="s">
        <v>42</v>
      </c>
      <c r="P300" t="s">
        <v>20</v>
      </c>
      <c r="Q300">
        <v>64896</v>
      </c>
    </row>
    <row r="301" spans="1:17" x14ac:dyDescent="0.25">
      <c r="A301" t="s">
        <v>36</v>
      </c>
      <c r="B301" t="s">
        <v>38</v>
      </c>
      <c r="C301" t="s">
        <v>19</v>
      </c>
      <c r="D301">
        <v>16681</v>
      </c>
      <c r="N301" t="s">
        <v>31</v>
      </c>
      <c r="O301" t="s">
        <v>42</v>
      </c>
      <c r="P301" t="s">
        <v>21</v>
      </c>
      <c r="Q301">
        <v>65418</v>
      </c>
    </row>
    <row r="302" spans="1:17" x14ac:dyDescent="0.25">
      <c r="A302" t="s">
        <v>36</v>
      </c>
      <c r="B302" t="s">
        <v>38</v>
      </c>
      <c r="C302" t="s">
        <v>20</v>
      </c>
      <c r="D302">
        <v>19484</v>
      </c>
      <c r="N302" t="s">
        <v>31</v>
      </c>
      <c r="O302" t="s">
        <v>42</v>
      </c>
      <c r="P302" t="s">
        <v>22</v>
      </c>
      <c r="Q302">
        <v>64875</v>
      </c>
    </row>
    <row r="303" spans="1:17" x14ac:dyDescent="0.25">
      <c r="A303" t="s">
        <v>36</v>
      </c>
      <c r="B303" t="s">
        <v>38</v>
      </c>
      <c r="C303" t="s">
        <v>21</v>
      </c>
      <c r="D303">
        <v>23116</v>
      </c>
      <c r="N303" t="s">
        <v>31</v>
      </c>
      <c r="O303" t="s">
        <v>42</v>
      </c>
      <c r="P303" t="s">
        <v>23</v>
      </c>
      <c r="Q303">
        <v>71390</v>
      </c>
    </row>
    <row r="304" spans="1:17" x14ac:dyDescent="0.25">
      <c r="A304" t="s">
        <v>36</v>
      </c>
      <c r="B304" t="s">
        <v>38</v>
      </c>
      <c r="C304" t="s">
        <v>22</v>
      </c>
      <c r="D304">
        <v>23732</v>
      </c>
      <c r="N304" t="s">
        <v>31</v>
      </c>
      <c r="O304" t="s">
        <v>42</v>
      </c>
      <c r="P304" t="s">
        <v>24</v>
      </c>
      <c r="Q304">
        <v>80143</v>
      </c>
    </row>
    <row r="305" spans="1:17" x14ac:dyDescent="0.25">
      <c r="A305" t="s">
        <v>36</v>
      </c>
      <c r="B305" t="s">
        <v>38</v>
      </c>
      <c r="C305" t="s">
        <v>23</v>
      </c>
      <c r="D305">
        <v>24032</v>
      </c>
      <c r="N305" t="s">
        <v>31</v>
      </c>
      <c r="O305" t="s">
        <v>42</v>
      </c>
      <c r="P305" t="s">
        <v>25</v>
      </c>
      <c r="Q305">
        <v>60283</v>
      </c>
    </row>
    <row r="306" spans="1:17" x14ac:dyDescent="0.25">
      <c r="A306" t="s">
        <v>36</v>
      </c>
      <c r="B306" t="s">
        <v>38</v>
      </c>
      <c r="C306" t="s">
        <v>24</v>
      </c>
      <c r="D306">
        <v>24329</v>
      </c>
      <c r="N306" t="s">
        <v>31</v>
      </c>
      <c r="O306" t="s">
        <v>42</v>
      </c>
      <c r="P306" t="s">
        <v>26</v>
      </c>
      <c r="Q306">
        <v>54199</v>
      </c>
    </row>
    <row r="307" spans="1:17" x14ac:dyDescent="0.25">
      <c r="A307" t="s">
        <v>36</v>
      </c>
      <c r="B307" t="s">
        <v>38</v>
      </c>
      <c r="C307" t="s">
        <v>25</v>
      </c>
      <c r="D307">
        <v>24065</v>
      </c>
      <c r="N307" t="s">
        <v>31</v>
      </c>
      <c r="O307" t="s">
        <v>42</v>
      </c>
      <c r="P307" t="s">
        <v>27</v>
      </c>
      <c r="Q307">
        <v>29371</v>
      </c>
    </row>
    <row r="308" spans="1:17" x14ac:dyDescent="0.25">
      <c r="A308" t="s">
        <v>36</v>
      </c>
      <c r="B308" t="s">
        <v>38</v>
      </c>
      <c r="C308" t="s">
        <v>26</v>
      </c>
      <c r="D308">
        <v>24549</v>
      </c>
      <c r="N308" t="s">
        <v>31</v>
      </c>
      <c r="O308" t="s">
        <v>42</v>
      </c>
      <c r="P308" t="s">
        <v>43</v>
      </c>
      <c r="Q308">
        <v>30794</v>
      </c>
    </row>
    <row r="309" spans="1:17" x14ac:dyDescent="0.25">
      <c r="A309" t="s">
        <v>36</v>
      </c>
      <c r="B309" t="s">
        <v>38</v>
      </c>
      <c r="C309" t="s">
        <v>27</v>
      </c>
      <c r="D309">
        <v>19050</v>
      </c>
      <c r="N309" t="s">
        <v>31</v>
      </c>
      <c r="O309" t="s">
        <v>42</v>
      </c>
      <c r="P309" t="s">
        <v>44</v>
      </c>
      <c r="Q309">
        <v>32189</v>
      </c>
    </row>
    <row r="310" spans="1:17" x14ac:dyDescent="0.25">
      <c r="A310" t="s">
        <v>16</v>
      </c>
      <c r="B310" t="s">
        <v>39</v>
      </c>
      <c r="C310" t="s">
        <v>18</v>
      </c>
      <c r="D310">
        <v>125903</v>
      </c>
      <c r="N310" t="s">
        <v>31</v>
      </c>
      <c r="O310" t="s">
        <v>41</v>
      </c>
      <c r="P310" t="s">
        <v>18</v>
      </c>
      <c r="Q310">
        <v>78241</v>
      </c>
    </row>
    <row r="311" spans="1:17" x14ac:dyDescent="0.25">
      <c r="A311" t="s">
        <v>16</v>
      </c>
      <c r="B311" t="s">
        <v>39</v>
      </c>
      <c r="C311" t="s">
        <v>19</v>
      </c>
      <c r="D311">
        <v>124691</v>
      </c>
      <c r="N311" t="s">
        <v>31</v>
      </c>
      <c r="O311" t="s">
        <v>41</v>
      </c>
      <c r="P311" t="s">
        <v>19</v>
      </c>
      <c r="Q311">
        <v>77601</v>
      </c>
    </row>
    <row r="312" spans="1:17" x14ac:dyDescent="0.25">
      <c r="A312" t="s">
        <v>16</v>
      </c>
      <c r="B312" t="s">
        <v>39</v>
      </c>
      <c r="C312" t="s">
        <v>20</v>
      </c>
      <c r="D312">
        <v>123441</v>
      </c>
      <c r="N312" t="s">
        <v>31</v>
      </c>
      <c r="O312" t="s">
        <v>41</v>
      </c>
      <c r="P312" t="s">
        <v>20</v>
      </c>
      <c r="Q312">
        <v>75655</v>
      </c>
    </row>
    <row r="313" spans="1:17" x14ac:dyDescent="0.25">
      <c r="A313" t="s">
        <v>16</v>
      </c>
      <c r="B313" t="s">
        <v>39</v>
      </c>
      <c r="C313" t="s">
        <v>21</v>
      </c>
      <c r="D313">
        <v>125789</v>
      </c>
      <c r="N313" t="s">
        <v>31</v>
      </c>
      <c r="O313" t="s">
        <v>41</v>
      </c>
      <c r="P313" t="s">
        <v>21</v>
      </c>
      <c r="Q313">
        <v>72967</v>
      </c>
    </row>
    <row r="314" spans="1:17" x14ac:dyDescent="0.25">
      <c r="A314" t="s">
        <v>16</v>
      </c>
      <c r="B314" t="s">
        <v>39</v>
      </c>
      <c r="C314" t="s">
        <v>22</v>
      </c>
      <c r="D314">
        <v>124804</v>
      </c>
      <c r="N314" t="s">
        <v>31</v>
      </c>
      <c r="O314" t="s">
        <v>41</v>
      </c>
      <c r="P314" t="s">
        <v>22</v>
      </c>
      <c r="Q314">
        <v>68616</v>
      </c>
    </row>
    <row r="315" spans="1:17" x14ac:dyDescent="0.25">
      <c r="A315" t="s">
        <v>16</v>
      </c>
      <c r="B315" t="s">
        <v>39</v>
      </c>
      <c r="C315" t="s">
        <v>23</v>
      </c>
      <c r="D315">
        <v>120730</v>
      </c>
      <c r="N315" t="s">
        <v>31</v>
      </c>
      <c r="O315" t="s">
        <v>41</v>
      </c>
      <c r="P315" t="s">
        <v>23</v>
      </c>
      <c r="Q315">
        <v>67284</v>
      </c>
    </row>
    <row r="316" spans="1:17" x14ac:dyDescent="0.25">
      <c r="A316" t="s">
        <v>16</v>
      </c>
      <c r="B316" t="s">
        <v>39</v>
      </c>
      <c r="C316" t="s">
        <v>24</v>
      </c>
      <c r="D316">
        <v>115361</v>
      </c>
      <c r="N316" t="s">
        <v>31</v>
      </c>
      <c r="O316" t="s">
        <v>41</v>
      </c>
      <c r="P316" t="s">
        <v>24</v>
      </c>
      <c r="Q316">
        <v>63543</v>
      </c>
    </row>
    <row r="317" spans="1:17" x14ac:dyDescent="0.25">
      <c r="A317" t="s">
        <v>16</v>
      </c>
      <c r="B317" t="s">
        <v>39</v>
      </c>
      <c r="C317" t="s">
        <v>25</v>
      </c>
      <c r="D317">
        <v>117172</v>
      </c>
      <c r="N317" t="s">
        <v>31</v>
      </c>
      <c r="O317" t="s">
        <v>41</v>
      </c>
      <c r="P317" t="s">
        <v>25</v>
      </c>
      <c r="Q317">
        <v>65970</v>
      </c>
    </row>
    <row r="318" spans="1:17" x14ac:dyDescent="0.25">
      <c r="A318" t="s">
        <v>16</v>
      </c>
      <c r="B318" t="s">
        <v>39</v>
      </c>
      <c r="C318" t="s">
        <v>26</v>
      </c>
      <c r="D318">
        <v>112244</v>
      </c>
      <c r="N318" t="s">
        <v>31</v>
      </c>
      <c r="O318" t="s">
        <v>41</v>
      </c>
      <c r="P318" t="s">
        <v>26</v>
      </c>
      <c r="Q318">
        <v>64128</v>
      </c>
    </row>
    <row r="319" spans="1:17" x14ac:dyDescent="0.25">
      <c r="A319" t="s">
        <v>16</v>
      </c>
      <c r="B319" t="s">
        <v>39</v>
      </c>
      <c r="C319" t="s">
        <v>27</v>
      </c>
      <c r="D319">
        <v>102269</v>
      </c>
      <c r="N319" t="s">
        <v>31</v>
      </c>
      <c r="O319" t="s">
        <v>41</v>
      </c>
      <c r="P319" t="s">
        <v>27</v>
      </c>
      <c r="Q319">
        <v>53945</v>
      </c>
    </row>
    <row r="320" spans="1:17" x14ac:dyDescent="0.25">
      <c r="A320" t="s">
        <v>28</v>
      </c>
      <c r="B320" t="s">
        <v>39</v>
      </c>
      <c r="C320" t="s">
        <v>18</v>
      </c>
      <c r="D320">
        <v>13687</v>
      </c>
      <c r="N320" t="s">
        <v>31</v>
      </c>
      <c r="O320" t="s">
        <v>41</v>
      </c>
      <c r="P320" t="s">
        <v>43</v>
      </c>
      <c r="Q320">
        <v>58294</v>
      </c>
    </row>
    <row r="321" spans="1:17" x14ac:dyDescent="0.25">
      <c r="A321" t="s">
        <v>28</v>
      </c>
      <c r="B321" t="s">
        <v>39</v>
      </c>
      <c r="C321" t="s">
        <v>19</v>
      </c>
      <c r="D321">
        <v>13514</v>
      </c>
      <c r="N321" t="s">
        <v>31</v>
      </c>
      <c r="O321" t="s">
        <v>41</v>
      </c>
      <c r="P321" t="s">
        <v>44</v>
      </c>
      <c r="Q321">
        <v>63665</v>
      </c>
    </row>
    <row r="322" spans="1:17" x14ac:dyDescent="0.25">
      <c r="A322" t="s">
        <v>28</v>
      </c>
      <c r="B322" t="s">
        <v>39</v>
      </c>
      <c r="C322" t="s">
        <v>20</v>
      </c>
      <c r="D322">
        <v>13735</v>
      </c>
      <c r="N322" t="s">
        <v>31</v>
      </c>
      <c r="O322" t="s">
        <v>40</v>
      </c>
      <c r="P322" t="s">
        <v>18</v>
      </c>
      <c r="Q322">
        <v>84433</v>
      </c>
    </row>
    <row r="323" spans="1:17" x14ac:dyDescent="0.25">
      <c r="A323" t="s">
        <v>28</v>
      </c>
      <c r="B323" t="s">
        <v>39</v>
      </c>
      <c r="C323" t="s">
        <v>21</v>
      </c>
      <c r="D323">
        <v>13184</v>
      </c>
      <c r="N323" t="s">
        <v>31</v>
      </c>
      <c r="O323" t="s">
        <v>40</v>
      </c>
      <c r="P323" t="s">
        <v>19</v>
      </c>
      <c r="Q323">
        <v>91128</v>
      </c>
    </row>
    <row r="324" spans="1:17" x14ac:dyDescent="0.25">
      <c r="A324" t="s">
        <v>28</v>
      </c>
      <c r="B324" t="s">
        <v>39</v>
      </c>
      <c r="C324" t="s">
        <v>22</v>
      </c>
      <c r="D324">
        <v>12498</v>
      </c>
      <c r="N324" t="s">
        <v>31</v>
      </c>
      <c r="O324" t="s">
        <v>40</v>
      </c>
      <c r="P324" t="s">
        <v>20</v>
      </c>
      <c r="Q324">
        <v>88205</v>
      </c>
    </row>
    <row r="325" spans="1:17" x14ac:dyDescent="0.25">
      <c r="A325" t="s">
        <v>28</v>
      </c>
      <c r="B325" t="s">
        <v>39</v>
      </c>
      <c r="C325" t="s">
        <v>23</v>
      </c>
      <c r="D325">
        <v>12810</v>
      </c>
      <c r="N325" t="s">
        <v>31</v>
      </c>
      <c r="O325" t="s">
        <v>40</v>
      </c>
      <c r="P325" t="s">
        <v>21</v>
      </c>
      <c r="Q325">
        <v>86814</v>
      </c>
    </row>
    <row r="326" spans="1:17" x14ac:dyDescent="0.25">
      <c r="A326" t="s">
        <v>28</v>
      </c>
      <c r="B326" t="s">
        <v>39</v>
      </c>
      <c r="C326" t="s">
        <v>24</v>
      </c>
      <c r="D326">
        <v>12027</v>
      </c>
      <c r="N326" t="s">
        <v>31</v>
      </c>
      <c r="O326" t="s">
        <v>40</v>
      </c>
      <c r="P326" t="s">
        <v>22</v>
      </c>
      <c r="Q326">
        <v>86385</v>
      </c>
    </row>
    <row r="327" spans="1:17" x14ac:dyDescent="0.25">
      <c r="A327" t="s">
        <v>28</v>
      </c>
      <c r="B327" t="s">
        <v>39</v>
      </c>
      <c r="C327" t="s">
        <v>25</v>
      </c>
      <c r="D327">
        <v>12738</v>
      </c>
      <c r="N327" t="s">
        <v>31</v>
      </c>
      <c r="O327" t="s">
        <v>40</v>
      </c>
      <c r="P327" t="s">
        <v>23</v>
      </c>
      <c r="Q327">
        <v>83492</v>
      </c>
    </row>
    <row r="328" spans="1:17" x14ac:dyDescent="0.25">
      <c r="A328" t="s">
        <v>28</v>
      </c>
      <c r="B328" t="s">
        <v>39</v>
      </c>
      <c r="C328" t="s">
        <v>26</v>
      </c>
      <c r="D328">
        <v>12721</v>
      </c>
      <c r="N328" t="s">
        <v>31</v>
      </c>
      <c r="O328" t="s">
        <v>40</v>
      </c>
      <c r="P328" t="s">
        <v>24</v>
      </c>
      <c r="Q328">
        <v>80207</v>
      </c>
    </row>
    <row r="329" spans="1:17" x14ac:dyDescent="0.25">
      <c r="A329" t="s">
        <v>28</v>
      </c>
      <c r="B329" t="s">
        <v>39</v>
      </c>
      <c r="C329" t="s">
        <v>27</v>
      </c>
      <c r="D329">
        <v>11673</v>
      </c>
      <c r="N329" t="s">
        <v>31</v>
      </c>
      <c r="O329" t="s">
        <v>40</v>
      </c>
      <c r="P329" t="s">
        <v>25</v>
      </c>
      <c r="Q329">
        <v>78995</v>
      </c>
    </row>
    <row r="330" spans="1:17" x14ac:dyDescent="0.25">
      <c r="A330" t="s">
        <v>29</v>
      </c>
      <c r="B330" t="s">
        <v>39</v>
      </c>
      <c r="C330" t="s">
        <v>18</v>
      </c>
      <c r="D330">
        <v>9134</v>
      </c>
      <c r="N330" t="s">
        <v>31</v>
      </c>
      <c r="O330" t="s">
        <v>40</v>
      </c>
      <c r="P330" t="s">
        <v>26</v>
      </c>
      <c r="Q330">
        <v>74804</v>
      </c>
    </row>
    <row r="331" spans="1:17" x14ac:dyDescent="0.25">
      <c r="A331" t="s">
        <v>29</v>
      </c>
      <c r="B331" t="s">
        <v>39</v>
      </c>
      <c r="C331" t="s">
        <v>19</v>
      </c>
      <c r="D331">
        <v>9147</v>
      </c>
      <c r="N331" t="s">
        <v>31</v>
      </c>
      <c r="O331" t="s">
        <v>40</v>
      </c>
      <c r="P331" t="s">
        <v>27</v>
      </c>
      <c r="Q331">
        <v>62054</v>
      </c>
    </row>
    <row r="332" spans="1:17" x14ac:dyDescent="0.25">
      <c r="A332" t="s">
        <v>29</v>
      </c>
      <c r="B332" t="s">
        <v>39</v>
      </c>
      <c r="C332" t="s">
        <v>20</v>
      </c>
      <c r="D332">
        <v>8424</v>
      </c>
      <c r="N332" t="s">
        <v>31</v>
      </c>
      <c r="O332" t="s">
        <v>40</v>
      </c>
      <c r="P332" t="s">
        <v>43</v>
      </c>
      <c r="Q332">
        <v>61808</v>
      </c>
    </row>
    <row r="333" spans="1:17" x14ac:dyDescent="0.25">
      <c r="A333" t="s">
        <v>29</v>
      </c>
      <c r="B333" t="s">
        <v>39</v>
      </c>
      <c r="C333" t="s">
        <v>21</v>
      </c>
      <c r="D333">
        <v>7942</v>
      </c>
      <c r="N333" t="s">
        <v>31</v>
      </c>
      <c r="O333" t="s">
        <v>40</v>
      </c>
      <c r="P333" t="s">
        <v>44</v>
      </c>
      <c r="Q333">
        <v>59887</v>
      </c>
    </row>
    <row r="334" spans="1:17" x14ac:dyDescent="0.25">
      <c r="A334" t="s">
        <v>29</v>
      </c>
      <c r="B334" t="s">
        <v>39</v>
      </c>
      <c r="C334" t="s">
        <v>22</v>
      </c>
      <c r="D334">
        <v>7816</v>
      </c>
      <c r="N334" t="s">
        <v>31</v>
      </c>
      <c r="O334" t="s">
        <v>37</v>
      </c>
      <c r="P334" t="s">
        <v>18</v>
      </c>
      <c r="Q334">
        <v>11034</v>
      </c>
    </row>
    <row r="335" spans="1:17" x14ac:dyDescent="0.25">
      <c r="A335" t="s">
        <v>29</v>
      </c>
      <c r="B335" t="s">
        <v>39</v>
      </c>
      <c r="C335" t="s">
        <v>23</v>
      </c>
      <c r="D335">
        <v>6838</v>
      </c>
      <c r="N335" t="s">
        <v>31</v>
      </c>
      <c r="O335" t="s">
        <v>37</v>
      </c>
      <c r="P335" t="s">
        <v>19</v>
      </c>
      <c r="Q335">
        <v>10964</v>
      </c>
    </row>
    <row r="336" spans="1:17" x14ac:dyDescent="0.25">
      <c r="A336" t="s">
        <v>29</v>
      </c>
      <c r="B336" t="s">
        <v>39</v>
      </c>
      <c r="C336" t="s">
        <v>24</v>
      </c>
      <c r="D336">
        <v>6232</v>
      </c>
      <c r="N336" t="s">
        <v>31</v>
      </c>
      <c r="O336" t="s">
        <v>37</v>
      </c>
      <c r="P336" t="s">
        <v>20</v>
      </c>
      <c r="Q336">
        <v>9889</v>
      </c>
    </row>
    <row r="337" spans="1:17" x14ac:dyDescent="0.25">
      <c r="A337" t="s">
        <v>29</v>
      </c>
      <c r="B337" t="s">
        <v>39</v>
      </c>
      <c r="C337" t="s">
        <v>25</v>
      </c>
      <c r="D337">
        <v>6116</v>
      </c>
      <c r="N337" t="s">
        <v>31</v>
      </c>
      <c r="O337" t="s">
        <v>37</v>
      </c>
      <c r="P337" t="s">
        <v>21</v>
      </c>
      <c r="Q337">
        <v>9079</v>
      </c>
    </row>
    <row r="338" spans="1:17" x14ac:dyDescent="0.25">
      <c r="A338" t="s">
        <v>29</v>
      </c>
      <c r="B338" t="s">
        <v>39</v>
      </c>
      <c r="C338" t="s">
        <v>26</v>
      </c>
      <c r="D338">
        <v>5740</v>
      </c>
      <c r="N338" t="s">
        <v>31</v>
      </c>
      <c r="O338" t="s">
        <v>37</v>
      </c>
      <c r="P338" t="s">
        <v>22</v>
      </c>
      <c r="Q338">
        <v>8947</v>
      </c>
    </row>
    <row r="339" spans="1:17" x14ac:dyDescent="0.25">
      <c r="A339" t="s">
        <v>29</v>
      </c>
      <c r="B339" t="s">
        <v>39</v>
      </c>
      <c r="C339" t="s">
        <v>27</v>
      </c>
      <c r="D339">
        <v>5769</v>
      </c>
      <c r="N339" t="s">
        <v>31</v>
      </c>
      <c r="O339" t="s">
        <v>37</v>
      </c>
      <c r="P339" t="s">
        <v>23</v>
      </c>
      <c r="Q339">
        <v>8484</v>
      </c>
    </row>
    <row r="340" spans="1:17" x14ac:dyDescent="0.25">
      <c r="A340" t="s">
        <v>30</v>
      </c>
      <c r="B340" t="s">
        <v>39</v>
      </c>
      <c r="C340" t="s">
        <v>18</v>
      </c>
      <c r="D340">
        <v>37796</v>
      </c>
      <c r="N340" t="s">
        <v>31</v>
      </c>
      <c r="O340" t="s">
        <v>37</v>
      </c>
      <c r="P340" t="s">
        <v>24</v>
      </c>
      <c r="Q340">
        <v>8759</v>
      </c>
    </row>
    <row r="341" spans="1:17" x14ac:dyDescent="0.25">
      <c r="A341" t="s">
        <v>30</v>
      </c>
      <c r="B341" t="s">
        <v>39</v>
      </c>
      <c r="C341" t="s">
        <v>19</v>
      </c>
      <c r="D341">
        <v>36199</v>
      </c>
      <c r="N341" t="s">
        <v>31</v>
      </c>
      <c r="O341" t="s">
        <v>37</v>
      </c>
      <c r="P341" t="s">
        <v>25</v>
      </c>
      <c r="Q341">
        <v>9308</v>
      </c>
    </row>
    <row r="342" spans="1:17" x14ac:dyDescent="0.25">
      <c r="A342" t="s">
        <v>30</v>
      </c>
      <c r="B342" t="s">
        <v>39</v>
      </c>
      <c r="C342" t="s">
        <v>20</v>
      </c>
      <c r="D342">
        <v>35757</v>
      </c>
      <c r="N342" t="s">
        <v>31</v>
      </c>
      <c r="O342" t="s">
        <v>37</v>
      </c>
      <c r="P342" t="s">
        <v>26</v>
      </c>
      <c r="Q342">
        <v>9809</v>
      </c>
    </row>
    <row r="343" spans="1:17" x14ac:dyDescent="0.25">
      <c r="A343" t="s">
        <v>30</v>
      </c>
      <c r="B343" t="s">
        <v>39</v>
      </c>
      <c r="C343" t="s">
        <v>21</v>
      </c>
      <c r="D343">
        <v>35847</v>
      </c>
      <c r="N343" t="s">
        <v>31</v>
      </c>
      <c r="O343" t="s">
        <v>37</v>
      </c>
      <c r="P343" t="s">
        <v>27</v>
      </c>
      <c r="Q343">
        <v>8201</v>
      </c>
    </row>
    <row r="344" spans="1:17" x14ac:dyDescent="0.25">
      <c r="A344" t="s">
        <v>30</v>
      </c>
      <c r="B344" t="s">
        <v>39</v>
      </c>
      <c r="C344" t="s">
        <v>22</v>
      </c>
      <c r="D344">
        <v>35312</v>
      </c>
      <c r="N344" t="s">
        <v>31</v>
      </c>
      <c r="O344" t="s">
        <v>37</v>
      </c>
      <c r="P344" t="s">
        <v>43</v>
      </c>
      <c r="Q344">
        <v>9617</v>
      </c>
    </row>
    <row r="345" spans="1:17" x14ac:dyDescent="0.25">
      <c r="A345" t="s">
        <v>30</v>
      </c>
      <c r="B345" t="s">
        <v>39</v>
      </c>
      <c r="C345" t="s">
        <v>23</v>
      </c>
      <c r="D345">
        <v>34023</v>
      </c>
      <c r="N345" t="s">
        <v>31</v>
      </c>
      <c r="O345" t="s">
        <v>37</v>
      </c>
      <c r="P345" t="s">
        <v>44</v>
      </c>
      <c r="Q345">
        <v>10160</v>
      </c>
    </row>
    <row r="346" spans="1:17" x14ac:dyDescent="0.25">
      <c r="A346" t="s">
        <v>30</v>
      </c>
      <c r="B346" t="s">
        <v>39</v>
      </c>
      <c r="C346" t="s">
        <v>24</v>
      </c>
      <c r="D346">
        <v>32456</v>
      </c>
      <c r="N346" t="s">
        <v>32</v>
      </c>
      <c r="O346" t="s">
        <v>38</v>
      </c>
      <c r="P346" t="s">
        <v>18</v>
      </c>
      <c r="Q346">
        <v>3652</v>
      </c>
    </row>
    <row r="347" spans="1:17" x14ac:dyDescent="0.25">
      <c r="A347" t="s">
        <v>30</v>
      </c>
      <c r="B347" t="s">
        <v>39</v>
      </c>
      <c r="C347" t="s">
        <v>25</v>
      </c>
      <c r="D347">
        <v>31275</v>
      </c>
      <c r="N347" t="s">
        <v>32</v>
      </c>
      <c r="O347" t="s">
        <v>38</v>
      </c>
      <c r="P347" t="s">
        <v>19</v>
      </c>
      <c r="Q347">
        <v>3917</v>
      </c>
    </row>
    <row r="348" spans="1:17" x14ac:dyDescent="0.25">
      <c r="A348" t="s">
        <v>30</v>
      </c>
      <c r="B348" t="s">
        <v>39</v>
      </c>
      <c r="C348" t="s">
        <v>26</v>
      </c>
      <c r="D348">
        <v>29232</v>
      </c>
      <c r="N348" t="s">
        <v>32</v>
      </c>
      <c r="O348" t="s">
        <v>38</v>
      </c>
      <c r="P348" t="s">
        <v>20</v>
      </c>
      <c r="Q348">
        <v>5163</v>
      </c>
    </row>
    <row r="349" spans="1:17" x14ac:dyDescent="0.25">
      <c r="A349" t="s">
        <v>30</v>
      </c>
      <c r="B349" t="s">
        <v>39</v>
      </c>
      <c r="C349" t="s">
        <v>27</v>
      </c>
      <c r="D349">
        <v>24996</v>
      </c>
      <c r="N349" t="s">
        <v>32</v>
      </c>
      <c r="O349" t="s">
        <v>38</v>
      </c>
      <c r="P349" t="s">
        <v>21</v>
      </c>
      <c r="Q349">
        <v>6123</v>
      </c>
    </row>
    <row r="350" spans="1:17" x14ac:dyDescent="0.25">
      <c r="A350" t="s">
        <v>31</v>
      </c>
      <c r="B350" t="s">
        <v>39</v>
      </c>
      <c r="C350" t="s">
        <v>18</v>
      </c>
      <c r="D350">
        <v>16424</v>
      </c>
      <c r="N350" t="s">
        <v>32</v>
      </c>
      <c r="O350" t="s">
        <v>38</v>
      </c>
      <c r="P350" t="s">
        <v>22</v>
      </c>
      <c r="Q350">
        <v>6723</v>
      </c>
    </row>
    <row r="351" spans="1:17" x14ac:dyDescent="0.25">
      <c r="A351" t="s">
        <v>31</v>
      </c>
      <c r="B351" t="s">
        <v>39</v>
      </c>
      <c r="C351" t="s">
        <v>19</v>
      </c>
      <c r="D351">
        <v>16616</v>
      </c>
      <c r="N351" t="s">
        <v>32</v>
      </c>
      <c r="O351" t="s">
        <v>38</v>
      </c>
      <c r="P351" t="s">
        <v>23</v>
      </c>
      <c r="Q351">
        <v>6745</v>
      </c>
    </row>
    <row r="352" spans="1:17" x14ac:dyDescent="0.25">
      <c r="A352" t="s">
        <v>31</v>
      </c>
      <c r="B352" t="s">
        <v>39</v>
      </c>
      <c r="C352" t="s">
        <v>20</v>
      </c>
      <c r="D352">
        <v>15850</v>
      </c>
      <c r="N352" t="s">
        <v>32</v>
      </c>
      <c r="O352" t="s">
        <v>38</v>
      </c>
      <c r="P352" t="s">
        <v>24</v>
      </c>
      <c r="Q352">
        <v>7048</v>
      </c>
    </row>
    <row r="353" spans="1:17" x14ac:dyDescent="0.25">
      <c r="A353" t="s">
        <v>31</v>
      </c>
      <c r="B353" t="s">
        <v>39</v>
      </c>
      <c r="C353" t="s">
        <v>21</v>
      </c>
      <c r="D353">
        <v>15459</v>
      </c>
      <c r="N353" t="s">
        <v>32</v>
      </c>
      <c r="O353" t="s">
        <v>38</v>
      </c>
      <c r="P353" t="s">
        <v>25</v>
      </c>
      <c r="Q353">
        <v>7006</v>
      </c>
    </row>
    <row r="354" spans="1:17" x14ac:dyDescent="0.25">
      <c r="A354" t="s">
        <v>31</v>
      </c>
      <c r="B354" t="s">
        <v>39</v>
      </c>
      <c r="C354" t="s">
        <v>22</v>
      </c>
      <c r="D354">
        <v>15534</v>
      </c>
      <c r="N354" t="s">
        <v>32</v>
      </c>
      <c r="O354" t="s">
        <v>38</v>
      </c>
      <c r="P354" t="s">
        <v>26</v>
      </c>
      <c r="Q354">
        <v>7466</v>
      </c>
    </row>
    <row r="355" spans="1:17" x14ac:dyDescent="0.25">
      <c r="A355" t="s">
        <v>31</v>
      </c>
      <c r="B355" t="s">
        <v>39</v>
      </c>
      <c r="C355" t="s">
        <v>23</v>
      </c>
      <c r="D355">
        <v>14709</v>
      </c>
      <c r="N355" t="s">
        <v>32</v>
      </c>
      <c r="O355" t="s">
        <v>38</v>
      </c>
      <c r="P355" t="s">
        <v>27</v>
      </c>
      <c r="Q355">
        <v>6105</v>
      </c>
    </row>
    <row r="356" spans="1:17" x14ac:dyDescent="0.25">
      <c r="A356" t="s">
        <v>31</v>
      </c>
      <c r="B356" t="s">
        <v>39</v>
      </c>
      <c r="C356" t="s">
        <v>24</v>
      </c>
      <c r="D356">
        <v>13637</v>
      </c>
      <c r="N356" t="s">
        <v>32</v>
      </c>
      <c r="O356" t="s">
        <v>38</v>
      </c>
      <c r="P356" t="s">
        <v>43</v>
      </c>
      <c r="Q356">
        <v>3548</v>
      </c>
    </row>
    <row r="357" spans="1:17" x14ac:dyDescent="0.25">
      <c r="A357" t="s">
        <v>31</v>
      </c>
      <c r="B357" t="s">
        <v>39</v>
      </c>
      <c r="C357" t="s">
        <v>25</v>
      </c>
      <c r="D357">
        <v>14458</v>
      </c>
      <c r="N357" t="s">
        <v>32</v>
      </c>
      <c r="O357" t="s">
        <v>38</v>
      </c>
      <c r="P357" t="s">
        <v>44</v>
      </c>
      <c r="Q357">
        <v>3931</v>
      </c>
    </row>
    <row r="358" spans="1:17" x14ac:dyDescent="0.25">
      <c r="A358" t="s">
        <v>31</v>
      </c>
      <c r="B358" t="s">
        <v>39</v>
      </c>
      <c r="C358" t="s">
        <v>26</v>
      </c>
      <c r="D358">
        <v>14120</v>
      </c>
      <c r="N358" t="s">
        <v>32</v>
      </c>
      <c r="O358" t="s">
        <v>17</v>
      </c>
      <c r="P358" t="s">
        <v>18</v>
      </c>
      <c r="Q358">
        <v>38826</v>
      </c>
    </row>
    <row r="359" spans="1:17" x14ac:dyDescent="0.25">
      <c r="A359" t="s">
        <v>31</v>
      </c>
      <c r="B359" t="s">
        <v>39</v>
      </c>
      <c r="C359" t="s">
        <v>27</v>
      </c>
      <c r="D359">
        <v>13227</v>
      </c>
      <c r="N359" t="s">
        <v>32</v>
      </c>
      <c r="O359" t="s">
        <v>17</v>
      </c>
      <c r="P359" t="s">
        <v>19</v>
      </c>
      <c r="Q359">
        <v>36786</v>
      </c>
    </row>
    <row r="360" spans="1:17" x14ac:dyDescent="0.25">
      <c r="A360" t="s">
        <v>32</v>
      </c>
      <c r="B360" t="s">
        <v>39</v>
      </c>
      <c r="C360" t="s">
        <v>18</v>
      </c>
      <c r="D360">
        <v>7535</v>
      </c>
      <c r="N360" t="s">
        <v>32</v>
      </c>
      <c r="O360" t="s">
        <v>17</v>
      </c>
      <c r="P360" t="s">
        <v>20</v>
      </c>
      <c r="Q360">
        <v>35953</v>
      </c>
    </row>
    <row r="361" spans="1:17" x14ac:dyDescent="0.25">
      <c r="A361" t="s">
        <v>32</v>
      </c>
      <c r="B361" t="s">
        <v>39</v>
      </c>
      <c r="C361" t="s">
        <v>19</v>
      </c>
      <c r="D361">
        <v>7296</v>
      </c>
      <c r="N361" t="s">
        <v>32</v>
      </c>
      <c r="O361" t="s">
        <v>17</v>
      </c>
      <c r="P361" t="s">
        <v>21</v>
      </c>
      <c r="Q361">
        <v>37971</v>
      </c>
    </row>
    <row r="362" spans="1:17" x14ac:dyDescent="0.25">
      <c r="A362" t="s">
        <v>32</v>
      </c>
      <c r="B362" t="s">
        <v>39</v>
      </c>
      <c r="C362" t="s">
        <v>20</v>
      </c>
      <c r="D362">
        <v>7145</v>
      </c>
      <c r="N362" t="s">
        <v>32</v>
      </c>
      <c r="O362" t="s">
        <v>17</v>
      </c>
      <c r="P362" t="s">
        <v>22</v>
      </c>
      <c r="Q362">
        <v>40391</v>
      </c>
    </row>
    <row r="363" spans="1:17" x14ac:dyDescent="0.25">
      <c r="A363" t="s">
        <v>32</v>
      </c>
      <c r="B363" t="s">
        <v>39</v>
      </c>
      <c r="C363" t="s">
        <v>21</v>
      </c>
      <c r="D363">
        <v>7544</v>
      </c>
      <c r="N363" t="s">
        <v>32</v>
      </c>
      <c r="O363" t="s">
        <v>17</v>
      </c>
      <c r="P363" t="s">
        <v>23</v>
      </c>
      <c r="Q363">
        <v>36764</v>
      </c>
    </row>
    <row r="364" spans="1:17" x14ac:dyDescent="0.25">
      <c r="A364" t="s">
        <v>32</v>
      </c>
      <c r="B364" t="s">
        <v>39</v>
      </c>
      <c r="C364" t="s">
        <v>22</v>
      </c>
      <c r="D364">
        <v>8225</v>
      </c>
      <c r="N364" t="s">
        <v>32</v>
      </c>
      <c r="O364" t="s">
        <v>17</v>
      </c>
      <c r="P364" t="s">
        <v>24</v>
      </c>
      <c r="Q364">
        <v>35068</v>
      </c>
    </row>
    <row r="365" spans="1:17" x14ac:dyDescent="0.25">
      <c r="A365" t="s">
        <v>32</v>
      </c>
      <c r="B365" t="s">
        <v>39</v>
      </c>
      <c r="C365" t="s">
        <v>23</v>
      </c>
      <c r="D365">
        <v>7352</v>
      </c>
      <c r="N365" t="s">
        <v>32</v>
      </c>
      <c r="O365" t="s">
        <v>17</v>
      </c>
      <c r="P365" t="s">
        <v>25</v>
      </c>
      <c r="Q365">
        <v>35266</v>
      </c>
    </row>
    <row r="366" spans="1:17" x14ac:dyDescent="0.25">
      <c r="A366" t="s">
        <v>32</v>
      </c>
      <c r="B366" t="s">
        <v>39</v>
      </c>
      <c r="C366" t="s">
        <v>24</v>
      </c>
      <c r="D366">
        <v>7246</v>
      </c>
      <c r="N366" t="s">
        <v>32</v>
      </c>
      <c r="O366" t="s">
        <v>17</v>
      </c>
      <c r="P366" t="s">
        <v>26</v>
      </c>
      <c r="Q366">
        <v>34780</v>
      </c>
    </row>
    <row r="367" spans="1:17" x14ac:dyDescent="0.25">
      <c r="A367" t="s">
        <v>32</v>
      </c>
      <c r="B367" t="s">
        <v>39</v>
      </c>
      <c r="C367" t="s">
        <v>25</v>
      </c>
      <c r="D367">
        <v>7161</v>
      </c>
      <c r="N367" t="s">
        <v>32</v>
      </c>
      <c r="O367" t="s">
        <v>17</v>
      </c>
      <c r="P367" t="s">
        <v>27</v>
      </c>
      <c r="Q367">
        <v>31120</v>
      </c>
    </row>
    <row r="368" spans="1:17" x14ac:dyDescent="0.25">
      <c r="A368" t="s">
        <v>32</v>
      </c>
      <c r="B368" t="s">
        <v>39</v>
      </c>
      <c r="C368" t="s">
        <v>26</v>
      </c>
      <c r="D368">
        <v>6943</v>
      </c>
      <c r="N368" t="s">
        <v>32</v>
      </c>
      <c r="O368" t="s">
        <v>17</v>
      </c>
      <c r="P368" t="s">
        <v>43</v>
      </c>
      <c r="Q368">
        <v>37690</v>
      </c>
    </row>
    <row r="369" spans="1:17" x14ac:dyDescent="0.25">
      <c r="A369" t="s">
        <v>32</v>
      </c>
      <c r="B369" t="s">
        <v>39</v>
      </c>
      <c r="C369" t="s">
        <v>27</v>
      </c>
      <c r="D369">
        <v>6866</v>
      </c>
      <c r="N369" t="s">
        <v>32</v>
      </c>
      <c r="O369" t="s">
        <v>17</v>
      </c>
      <c r="P369" t="s">
        <v>44</v>
      </c>
      <c r="Q369">
        <v>42142</v>
      </c>
    </row>
    <row r="370" spans="1:17" x14ac:dyDescent="0.25">
      <c r="A370" t="s">
        <v>33</v>
      </c>
      <c r="B370" t="s">
        <v>39</v>
      </c>
      <c r="C370" t="s">
        <v>18</v>
      </c>
      <c r="D370">
        <v>6714</v>
      </c>
      <c r="N370" t="s">
        <v>32</v>
      </c>
      <c r="O370" t="s">
        <v>39</v>
      </c>
      <c r="P370" t="s">
        <v>18</v>
      </c>
      <c r="Q370">
        <v>7535</v>
      </c>
    </row>
    <row r="371" spans="1:17" x14ac:dyDescent="0.25">
      <c r="A371" t="s">
        <v>33</v>
      </c>
      <c r="B371" t="s">
        <v>39</v>
      </c>
      <c r="C371" t="s">
        <v>19</v>
      </c>
      <c r="D371">
        <v>6355</v>
      </c>
      <c r="N371" t="s">
        <v>32</v>
      </c>
      <c r="O371" t="s">
        <v>39</v>
      </c>
      <c r="P371" t="s">
        <v>19</v>
      </c>
      <c r="Q371">
        <v>7296</v>
      </c>
    </row>
    <row r="372" spans="1:17" x14ac:dyDescent="0.25">
      <c r="A372" t="s">
        <v>33</v>
      </c>
      <c r="B372" t="s">
        <v>39</v>
      </c>
      <c r="C372" t="s">
        <v>20</v>
      </c>
      <c r="D372">
        <v>5972</v>
      </c>
      <c r="N372" t="s">
        <v>32</v>
      </c>
      <c r="O372" t="s">
        <v>39</v>
      </c>
      <c r="P372" t="s">
        <v>20</v>
      </c>
      <c r="Q372">
        <v>7145</v>
      </c>
    </row>
    <row r="373" spans="1:17" x14ac:dyDescent="0.25">
      <c r="A373" t="s">
        <v>33</v>
      </c>
      <c r="B373" t="s">
        <v>39</v>
      </c>
      <c r="C373" t="s">
        <v>21</v>
      </c>
      <c r="D373">
        <v>6130</v>
      </c>
      <c r="N373" t="s">
        <v>32</v>
      </c>
      <c r="O373" t="s">
        <v>39</v>
      </c>
      <c r="P373" t="s">
        <v>21</v>
      </c>
      <c r="Q373">
        <v>7544</v>
      </c>
    </row>
    <row r="374" spans="1:17" x14ac:dyDescent="0.25">
      <c r="A374" t="s">
        <v>33</v>
      </c>
      <c r="B374" t="s">
        <v>39</v>
      </c>
      <c r="C374" t="s">
        <v>22</v>
      </c>
      <c r="D374">
        <v>6113</v>
      </c>
      <c r="N374" t="s">
        <v>32</v>
      </c>
      <c r="O374" t="s">
        <v>39</v>
      </c>
      <c r="P374" t="s">
        <v>22</v>
      </c>
      <c r="Q374">
        <v>8225</v>
      </c>
    </row>
    <row r="375" spans="1:17" x14ac:dyDescent="0.25">
      <c r="A375" t="s">
        <v>33</v>
      </c>
      <c r="B375" t="s">
        <v>39</v>
      </c>
      <c r="C375" t="s">
        <v>23</v>
      </c>
      <c r="D375">
        <v>5834</v>
      </c>
      <c r="N375" t="s">
        <v>32</v>
      </c>
      <c r="O375" t="s">
        <v>39</v>
      </c>
      <c r="P375" t="s">
        <v>23</v>
      </c>
      <c r="Q375">
        <v>7352</v>
      </c>
    </row>
    <row r="376" spans="1:17" x14ac:dyDescent="0.25">
      <c r="A376" t="s">
        <v>33</v>
      </c>
      <c r="B376" t="s">
        <v>39</v>
      </c>
      <c r="C376" t="s">
        <v>24</v>
      </c>
      <c r="D376">
        <v>5773</v>
      </c>
      <c r="N376" t="s">
        <v>32</v>
      </c>
      <c r="O376" t="s">
        <v>39</v>
      </c>
      <c r="P376" t="s">
        <v>24</v>
      </c>
      <c r="Q376">
        <v>7246</v>
      </c>
    </row>
    <row r="377" spans="1:17" x14ac:dyDescent="0.25">
      <c r="A377" t="s">
        <v>33</v>
      </c>
      <c r="B377" t="s">
        <v>39</v>
      </c>
      <c r="C377" t="s">
        <v>25</v>
      </c>
      <c r="D377">
        <v>6031</v>
      </c>
      <c r="N377" t="s">
        <v>32</v>
      </c>
      <c r="O377" t="s">
        <v>39</v>
      </c>
      <c r="P377" t="s">
        <v>25</v>
      </c>
      <c r="Q377">
        <v>7161</v>
      </c>
    </row>
    <row r="378" spans="1:17" x14ac:dyDescent="0.25">
      <c r="A378" t="s">
        <v>33</v>
      </c>
      <c r="B378" t="s">
        <v>39</v>
      </c>
      <c r="C378" t="s">
        <v>26</v>
      </c>
      <c r="D378">
        <v>6200</v>
      </c>
      <c r="N378" t="s">
        <v>32</v>
      </c>
      <c r="O378" t="s">
        <v>39</v>
      </c>
      <c r="P378" t="s">
        <v>26</v>
      </c>
      <c r="Q378">
        <v>6943</v>
      </c>
    </row>
    <row r="379" spans="1:17" x14ac:dyDescent="0.25">
      <c r="A379" t="s">
        <v>33</v>
      </c>
      <c r="B379" t="s">
        <v>39</v>
      </c>
      <c r="C379" t="s">
        <v>27</v>
      </c>
      <c r="D379">
        <v>5703</v>
      </c>
      <c r="N379" t="s">
        <v>32</v>
      </c>
      <c r="O379" t="s">
        <v>39</v>
      </c>
      <c r="P379" t="s">
        <v>27</v>
      </c>
      <c r="Q379">
        <v>6866</v>
      </c>
    </row>
    <row r="380" spans="1:17" x14ac:dyDescent="0.25">
      <c r="A380" t="s">
        <v>34</v>
      </c>
      <c r="B380" t="s">
        <v>39</v>
      </c>
      <c r="C380" t="s">
        <v>18</v>
      </c>
      <c r="D380">
        <v>6913</v>
      </c>
      <c r="N380" t="s">
        <v>32</v>
      </c>
      <c r="O380" t="s">
        <v>39</v>
      </c>
      <c r="P380" t="s">
        <v>43</v>
      </c>
      <c r="Q380">
        <v>7768</v>
      </c>
    </row>
    <row r="381" spans="1:17" x14ac:dyDescent="0.25">
      <c r="A381" t="s">
        <v>34</v>
      </c>
      <c r="B381" t="s">
        <v>39</v>
      </c>
      <c r="C381" t="s">
        <v>19</v>
      </c>
      <c r="D381">
        <v>6706</v>
      </c>
      <c r="N381" t="s">
        <v>32</v>
      </c>
      <c r="O381" t="s">
        <v>39</v>
      </c>
      <c r="P381" t="s">
        <v>44</v>
      </c>
      <c r="Q381">
        <v>8171</v>
      </c>
    </row>
    <row r="382" spans="1:17" x14ac:dyDescent="0.25">
      <c r="A382" t="s">
        <v>34</v>
      </c>
      <c r="B382" t="s">
        <v>39</v>
      </c>
      <c r="C382" t="s">
        <v>20</v>
      </c>
      <c r="D382">
        <v>6201</v>
      </c>
      <c r="N382" t="s">
        <v>32</v>
      </c>
      <c r="O382" t="s">
        <v>42</v>
      </c>
      <c r="P382" t="s">
        <v>18</v>
      </c>
      <c r="Q382">
        <v>9081</v>
      </c>
    </row>
    <row r="383" spans="1:17" x14ac:dyDescent="0.25">
      <c r="A383" t="s">
        <v>34</v>
      </c>
      <c r="B383" t="s">
        <v>39</v>
      </c>
      <c r="C383" t="s">
        <v>21</v>
      </c>
      <c r="D383">
        <v>6231</v>
      </c>
      <c r="N383" t="s">
        <v>32</v>
      </c>
      <c r="O383" t="s">
        <v>42</v>
      </c>
      <c r="P383" t="s">
        <v>19</v>
      </c>
      <c r="Q383">
        <v>12402</v>
      </c>
    </row>
    <row r="384" spans="1:17" x14ac:dyDescent="0.25">
      <c r="A384" t="s">
        <v>34</v>
      </c>
      <c r="B384" t="s">
        <v>39</v>
      </c>
      <c r="C384" t="s">
        <v>22</v>
      </c>
      <c r="D384">
        <v>6076</v>
      </c>
      <c r="N384" t="s">
        <v>32</v>
      </c>
      <c r="O384" t="s">
        <v>42</v>
      </c>
      <c r="P384" t="s">
        <v>20</v>
      </c>
      <c r="Q384">
        <v>14269</v>
      </c>
    </row>
    <row r="385" spans="1:17" x14ac:dyDescent="0.25">
      <c r="A385" t="s">
        <v>34</v>
      </c>
      <c r="B385" t="s">
        <v>39</v>
      </c>
      <c r="C385" t="s">
        <v>23</v>
      </c>
      <c r="D385">
        <v>6064</v>
      </c>
      <c r="N385" t="s">
        <v>32</v>
      </c>
      <c r="O385" t="s">
        <v>42</v>
      </c>
      <c r="P385" t="s">
        <v>21</v>
      </c>
      <c r="Q385">
        <v>18321</v>
      </c>
    </row>
    <row r="386" spans="1:17" x14ac:dyDescent="0.25">
      <c r="A386" t="s">
        <v>34</v>
      </c>
      <c r="B386" t="s">
        <v>39</v>
      </c>
      <c r="C386" t="s">
        <v>24</v>
      </c>
      <c r="D386">
        <v>6144</v>
      </c>
      <c r="N386" t="s">
        <v>32</v>
      </c>
      <c r="O386" t="s">
        <v>42</v>
      </c>
      <c r="P386" t="s">
        <v>22</v>
      </c>
      <c r="Q386">
        <v>17709</v>
      </c>
    </row>
    <row r="387" spans="1:17" x14ac:dyDescent="0.25">
      <c r="A387" t="s">
        <v>34</v>
      </c>
      <c r="B387" t="s">
        <v>39</v>
      </c>
      <c r="C387" t="s">
        <v>25</v>
      </c>
      <c r="D387">
        <v>6632</v>
      </c>
      <c r="N387" t="s">
        <v>32</v>
      </c>
      <c r="O387" t="s">
        <v>42</v>
      </c>
      <c r="P387" t="s">
        <v>23</v>
      </c>
      <c r="Q387">
        <v>20044</v>
      </c>
    </row>
    <row r="388" spans="1:17" x14ac:dyDescent="0.25">
      <c r="A388" t="s">
        <v>34</v>
      </c>
      <c r="B388" t="s">
        <v>39</v>
      </c>
      <c r="C388" t="s">
        <v>26</v>
      </c>
      <c r="D388">
        <v>6210</v>
      </c>
      <c r="N388" t="s">
        <v>32</v>
      </c>
      <c r="O388" t="s">
        <v>42</v>
      </c>
      <c r="P388" t="s">
        <v>24</v>
      </c>
      <c r="Q388">
        <v>27262</v>
      </c>
    </row>
    <row r="389" spans="1:17" x14ac:dyDescent="0.25">
      <c r="A389" t="s">
        <v>34</v>
      </c>
      <c r="B389" t="s">
        <v>39</v>
      </c>
      <c r="C389" t="s">
        <v>27</v>
      </c>
      <c r="D389">
        <v>5988</v>
      </c>
      <c r="N389" t="s">
        <v>32</v>
      </c>
      <c r="O389" t="s">
        <v>42</v>
      </c>
      <c r="P389" t="s">
        <v>25</v>
      </c>
      <c r="Q389">
        <v>23249</v>
      </c>
    </row>
    <row r="390" spans="1:17" x14ac:dyDescent="0.25">
      <c r="A390" t="s">
        <v>35</v>
      </c>
      <c r="B390" t="s">
        <v>39</v>
      </c>
      <c r="C390" t="s">
        <v>18</v>
      </c>
      <c r="D390">
        <v>2969</v>
      </c>
      <c r="N390" t="s">
        <v>32</v>
      </c>
      <c r="O390" t="s">
        <v>42</v>
      </c>
      <c r="P390" t="s">
        <v>26</v>
      </c>
      <c r="Q390">
        <v>16920</v>
      </c>
    </row>
    <row r="391" spans="1:17" x14ac:dyDescent="0.25">
      <c r="A391" t="s">
        <v>35</v>
      </c>
      <c r="B391" t="s">
        <v>39</v>
      </c>
      <c r="C391" t="s">
        <v>19</v>
      </c>
      <c r="D391">
        <v>3279</v>
      </c>
      <c r="N391" t="s">
        <v>32</v>
      </c>
      <c r="O391" t="s">
        <v>42</v>
      </c>
      <c r="P391" t="s">
        <v>27</v>
      </c>
      <c r="Q391">
        <v>13767</v>
      </c>
    </row>
    <row r="392" spans="1:17" x14ac:dyDescent="0.25">
      <c r="A392" t="s">
        <v>35</v>
      </c>
      <c r="B392" t="s">
        <v>39</v>
      </c>
      <c r="C392" t="s">
        <v>20</v>
      </c>
      <c r="D392">
        <v>3250</v>
      </c>
      <c r="N392" t="s">
        <v>32</v>
      </c>
      <c r="O392" t="s">
        <v>42</v>
      </c>
      <c r="P392" t="s">
        <v>43</v>
      </c>
      <c r="Q392">
        <v>11751</v>
      </c>
    </row>
    <row r="393" spans="1:17" x14ac:dyDescent="0.25">
      <c r="A393" t="s">
        <v>35</v>
      </c>
      <c r="B393" t="s">
        <v>39</v>
      </c>
      <c r="C393" t="s">
        <v>21</v>
      </c>
      <c r="D393">
        <v>3381</v>
      </c>
      <c r="N393" t="s">
        <v>32</v>
      </c>
      <c r="O393" t="s">
        <v>42</v>
      </c>
      <c r="P393" t="s">
        <v>44</v>
      </c>
      <c r="Q393">
        <v>11967</v>
      </c>
    </row>
    <row r="394" spans="1:17" x14ac:dyDescent="0.25">
      <c r="A394" t="s">
        <v>35</v>
      </c>
      <c r="B394" t="s">
        <v>39</v>
      </c>
      <c r="C394" t="s">
        <v>22</v>
      </c>
      <c r="D394">
        <v>3256</v>
      </c>
      <c r="N394" t="s">
        <v>32</v>
      </c>
      <c r="O394" t="s">
        <v>41</v>
      </c>
      <c r="P394" t="s">
        <v>18</v>
      </c>
      <c r="Q394">
        <v>26786</v>
      </c>
    </row>
    <row r="395" spans="1:17" x14ac:dyDescent="0.25">
      <c r="A395" t="s">
        <v>35</v>
      </c>
      <c r="B395" t="s">
        <v>39</v>
      </c>
      <c r="C395" t="s">
        <v>23</v>
      </c>
      <c r="D395">
        <v>3103</v>
      </c>
      <c r="N395" t="s">
        <v>32</v>
      </c>
      <c r="O395" t="s">
        <v>41</v>
      </c>
      <c r="P395" t="s">
        <v>19</v>
      </c>
      <c r="Q395">
        <v>25690</v>
      </c>
    </row>
    <row r="396" spans="1:17" x14ac:dyDescent="0.25">
      <c r="A396" t="s">
        <v>35</v>
      </c>
      <c r="B396" t="s">
        <v>39</v>
      </c>
      <c r="C396" t="s">
        <v>24</v>
      </c>
      <c r="D396">
        <v>3083</v>
      </c>
      <c r="N396" t="s">
        <v>32</v>
      </c>
      <c r="O396" t="s">
        <v>41</v>
      </c>
      <c r="P396" t="s">
        <v>20</v>
      </c>
      <c r="Q396">
        <v>26189</v>
      </c>
    </row>
    <row r="397" spans="1:17" x14ac:dyDescent="0.25">
      <c r="A397" t="s">
        <v>35</v>
      </c>
      <c r="B397" t="s">
        <v>39</v>
      </c>
      <c r="C397" t="s">
        <v>25</v>
      </c>
      <c r="D397">
        <v>3405</v>
      </c>
      <c r="N397" t="s">
        <v>32</v>
      </c>
      <c r="O397" t="s">
        <v>41</v>
      </c>
      <c r="P397" t="s">
        <v>21</v>
      </c>
      <c r="Q397">
        <v>26459</v>
      </c>
    </row>
    <row r="398" spans="1:17" x14ac:dyDescent="0.25">
      <c r="A398" t="s">
        <v>35</v>
      </c>
      <c r="B398" t="s">
        <v>39</v>
      </c>
      <c r="C398" t="s">
        <v>26</v>
      </c>
      <c r="D398">
        <v>3241</v>
      </c>
      <c r="N398" t="s">
        <v>32</v>
      </c>
      <c r="O398" t="s">
        <v>41</v>
      </c>
      <c r="P398" t="s">
        <v>22</v>
      </c>
      <c r="Q398">
        <v>27447</v>
      </c>
    </row>
    <row r="399" spans="1:17" x14ac:dyDescent="0.25">
      <c r="A399" t="s">
        <v>35</v>
      </c>
      <c r="B399" t="s">
        <v>39</v>
      </c>
      <c r="C399" t="s">
        <v>27</v>
      </c>
      <c r="D399">
        <v>3155</v>
      </c>
      <c r="N399" t="s">
        <v>32</v>
      </c>
      <c r="O399" t="s">
        <v>41</v>
      </c>
      <c r="P399" t="s">
        <v>23</v>
      </c>
      <c r="Q399">
        <v>28524</v>
      </c>
    </row>
    <row r="400" spans="1:17" x14ac:dyDescent="0.25">
      <c r="A400" t="s">
        <v>36</v>
      </c>
      <c r="B400" t="s">
        <v>39</v>
      </c>
      <c r="C400" t="s">
        <v>18</v>
      </c>
      <c r="D400">
        <v>24731</v>
      </c>
      <c r="N400" t="s">
        <v>32</v>
      </c>
      <c r="O400" t="s">
        <v>41</v>
      </c>
      <c r="P400" t="s">
        <v>24</v>
      </c>
      <c r="Q400">
        <v>24381</v>
      </c>
    </row>
    <row r="401" spans="1:17" x14ac:dyDescent="0.25">
      <c r="A401" t="s">
        <v>36</v>
      </c>
      <c r="B401" t="s">
        <v>39</v>
      </c>
      <c r="C401" t="s">
        <v>19</v>
      </c>
      <c r="D401">
        <v>25579</v>
      </c>
      <c r="N401" t="s">
        <v>32</v>
      </c>
      <c r="O401" t="s">
        <v>41</v>
      </c>
      <c r="P401" t="s">
        <v>25</v>
      </c>
      <c r="Q401">
        <v>25081</v>
      </c>
    </row>
    <row r="402" spans="1:17" x14ac:dyDescent="0.25">
      <c r="A402" t="s">
        <v>36</v>
      </c>
      <c r="B402" t="s">
        <v>39</v>
      </c>
      <c r="C402" t="s">
        <v>20</v>
      </c>
      <c r="D402">
        <v>27107</v>
      </c>
      <c r="N402" t="s">
        <v>32</v>
      </c>
      <c r="O402" t="s">
        <v>41</v>
      </c>
      <c r="P402" t="s">
        <v>26</v>
      </c>
      <c r="Q402">
        <v>23780</v>
      </c>
    </row>
    <row r="403" spans="1:17" x14ac:dyDescent="0.25">
      <c r="A403" t="s">
        <v>36</v>
      </c>
      <c r="B403" t="s">
        <v>39</v>
      </c>
      <c r="C403" t="s">
        <v>21</v>
      </c>
      <c r="D403">
        <v>30071</v>
      </c>
      <c r="N403" t="s">
        <v>32</v>
      </c>
      <c r="O403" t="s">
        <v>41</v>
      </c>
      <c r="P403" t="s">
        <v>27</v>
      </c>
      <c r="Q403">
        <v>20132</v>
      </c>
    </row>
    <row r="404" spans="1:17" x14ac:dyDescent="0.25">
      <c r="A404" t="s">
        <v>36</v>
      </c>
      <c r="B404" t="s">
        <v>39</v>
      </c>
      <c r="C404" t="s">
        <v>22</v>
      </c>
      <c r="D404">
        <v>29974</v>
      </c>
      <c r="N404" t="s">
        <v>32</v>
      </c>
      <c r="O404" t="s">
        <v>41</v>
      </c>
      <c r="P404" t="s">
        <v>43</v>
      </c>
      <c r="Q404">
        <v>22673</v>
      </c>
    </row>
    <row r="405" spans="1:17" x14ac:dyDescent="0.25">
      <c r="A405" t="s">
        <v>36</v>
      </c>
      <c r="B405" t="s">
        <v>39</v>
      </c>
      <c r="C405" t="s">
        <v>23</v>
      </c>
      <c r="D405">
        <v>29997</v>
      </c>
      <c r="N405" t="s">
        <v>32</v>
      </c>
      <c r="O405" t="s">
        <v>41</v>
      </c>
      <c r="P405" t="s">
        <v>44</v>
      </c>
      <c r="Q405">
        <v>26767</v>
      </c>
    </row>
    <row r="406" spans="1:17" x14ac:dyDescent="0.25">
      <c r="A406" t="s">
        <v>36</v>
      </c>
      <c r="B406" t="s">
        <v>39</v>
      </c>
      <c r="C406" t="s">
        <v>24</v>
      </c>
      <c r="D406">
        <v>28763</v>
      </c>
      <c r="N406" t="s">
        <v>32</v>
      </c>
      <c r="O406" t="s">
        <v>40</v>
      </c>
      <c r="P406" t="s">
        <v>18</v>
      </c>
      <c r="Q406">
        <v>29335</v>
      </c>
    </row>
    <row r="407" spans="1:17" x14ac:dyDescent="0.25">
      <c r="A407" t="s">
        <v>36</v>
      </c>
      <c r="B407" t="s">
        <v>39</v>
      </c>
      <c r="C407" t="s">
        <v>25</v>
      </c>
      <c r="D407">
        <v>29356</v>
      </c>
      <c r="N407" t="s">
        <v>32</v>
      </c>
      <c r="O407" t="s">
        <v>40</v>
      </c>
      <c r="P407" t="s">
        <v>19</v>
      </c>
      <c r="Q407">
        <v>28533</v>
      </c>
    </row>
    <row r="408" spans="1:17" x14ac:dyDescent="0.25">
      <c r="A408" t="s">
        <v>36</v>
      </c>
      <c r="B408" t="s">
        <v>39</v>
      </c>
      <c r="C408" t="s">
        <v>26</v>
      </c>
      <c r="D408">
        <v>27837</v>
      </c>
      <c r="N408" t="s">
        <v>32</v>
      </c>
      <c r="O408" t="s">
        <v>40</v>
      </c>
      <c r="P408" t="s">
        <v>20</v>
      </c>
      <c r="Q408">
        <v>31479</v>
      </c>
    </row>
    <row r="409" spans="1:17" x14ac:dyDescent="0.25">
      <c r="A409" t="s">
        <v>36</v>
      </c>
      <c r="B409" t="s">
        <v>39</v>
      </c>
      <c r="C409" t="s">
        <v>27</v>
      </c>
      <c r="D409">
        <v>24892</v>
      </c>
      <c r="N409" t="s">
        <v>32</v>
      </c>
      <c r="O409" t="s">
        <v>40</v>
      </c>
      <c r="P409" t="s">
        <v>21</v>
      </c>
      <c r="Q409">
        <v>31669</v>
      </c>
    </row>
    <row r="410" spans="1:17" x14ac:dyDescent="0.25">
      <c r="A410" t="s">
        <v>16</v>
      </c>
      <c r="B410" t="s">
        <v>40</v>
      </c>
      <c r="C410" t="s">
        <v>18</v>
      </c>
      <c r="D410">
        <v>530624</v>
      </c>
      <c r="N410" t="s">
        <v>32</v>
      </c>
      <c r="O410" t="s">
        <v>40</v>
      </c>
      <c r="P410" t="s">
        <v>22</v>
      </c>
      <c r="Q410">
        <v>32081</v>
      </c>
    </row>
    <row r="411" spans="1:17" x14ac:dyDescent="0.25">
      <c r="A411" t="s">
        <v>16</v>
      </c>
      <c r="B411" t="s">
        <v>40</v>
      </c>
      <c r="C411" t="s">
        <v>19</v>
      </c>
      <c r="D411">
        <v>558334</v>
      </c>
      <c r="N411" t="s">
        <v>32</v>
      </c>
      <c r="O411" t="s">
        <v>40</v>
      </c>
      <c r="P411" t="s">
        <v>23</v>
      </c>
      <c r="Q411">
        <v>31240</v>
      </c>
    </row>
    <row r="412" spans="1:17" x14ac:dyDescent="0.25">
      <c r="A412" t="s">
        <v>16</v>
      </c>
      <c r="B412" t="s">
        <v>40</v>
      </c>
      <c r="C412" t="s">
        <v>20</v>
      </c>
      <c r="D412">
        <v>558228</v>
      </c>
      <c r="N412" t="s">
        <v>32</v>
      </c>
      <c r="O412" t="s">
        <v>40</v>
      </c>
      <c r="P412" t="s">
        <v>24</v>
      </c>
      <c r="Q412">
        <v>28725</v>
      </c>
    </row>
    <row r="413" spans="1:17" x14ac:dyDescent="0.25">
      <c r="A413" t="s">
        <v>16</v>
      </c>
      <c r="B413" t="s">
        <v>40</v>
      </c>
      <c r="C413" t="s">
        <v>21</v>
      </c>
      <c r="D413">
        <v>553487</v>
      </c>
      <c r="N413" t="s">
        <v>32</v>
      </c>
      <c r="O413" t="s">
        <v>40</v>
      </c>
      <c r="P413" t="s">
        <v>25</v>
      </c>
      <c r="Q413">
        <v>28468</v>
      </c>
    </row>
    <row r="414" spans="1:17" x14ac:dyDescent="0.25">
      <c r="A414" t="s">
        <v>16</v>
      </c>
      <c r="B414" t="s">
        <v>40</v>
      </c>
      <c r="C414" t="s">
        <v>22</v>
      </c>
      <c r="D414">
        <v>543524</v>
      </c>
      <c r="N414" t="s">
        <v>32</v>
      </c>
      <c r="O414" t="s">
        <v>40</v>
      </c>
      <c r="P414" t="s">
        <v>26</v>
      </c>
      <c r="Q414">
        <v>28449</v>
      </c>
    </row>
    <row r="415" spans="1:17" x14ac:dyDescent="0.25">
      <c r="A415" t="s">
        <v>16</v>
      </c>
      <c r="B415" t="s">
        <v>40</v>
      </c>
      <c r="C415" t="s">
        <v>23</v>
      </c>
      <c r="D415">
        <v>540653</v>
      </c>
      <c r="N415" t="s">
        <v>32</v>
      </c>
      <c r="O415" t="s">
        <v>40</v>
      </c>
      <c r="P415" t="s">
        <v>27</v>
      </c>
      <c r="Q415">
        <v>22993</v>
      </c>
    </row>
    <row r="416" spans="1:17" x14ac:dyDescent="0.25">
      <c r="A416" t="s">
        <v>16</v>
      </c>
      <c r="B416" t="s">
        <v>40</v>
      </c>
      <c r="C416" t="s">
        <v>24</v>
      </c>
      <c r="D416">
        <v>507975</v>
      </c>
      <c r="N416" t="s">
        <v>32</v>
      </c>
      <c r="O416" t="s">
        <v>40</v>
      </c>
      <c r="P416" t="s">
        <v>43</v>
      </c>
      <c r="Q416">
        <v>23440</v>
      </c>
    </row>
    <row r="417" spans="1:17" x14ac:dyDescent="0.25">
      <c r="A417" t="s">
        <v>16</v>
      </c>
      <c r="B417" t="s">
        <v>40</v>
      </c>
      <c r="C417" t="s">
        <v>25</v>
      </c>
      <c r="D417">
        <v>495161</v>
      </c>
      <c r="N417" t="s">
        <v>32</v>
      </c>
      <c r="O417" t="s">
        <v>40</v>
      </c>
      <c r="P417" t="s">
        <v>44</v>
      </c>
      <c r="Q417">
        <v>24614</v>
      </c>
    </row>
    <row r="418" spans="1:17" x14ac:dyDescent="0.25">
      <c r="A418" t="s">
        <v>16</v>
      </c>
      <c r="B418" t="s">
        <v>40</v>
      </c>
      <c r="C418" t="s">
        <v>26</v>
      </c>
      <c r="D418">
        <v>469224</v>
      </c>
      <c r="N418" t="s">
        <v>32</v>
      </c>
      <c r="O418" t="s">
        <v>37</v>
      </c>
      <c r="P418" t="s">
        <v>18</v>
      </c>
      <c r="Q418">
        <v>4836</v>
      </c>
    </row>
    <row r="419" spans="1:17" x14ac:dyDescent="0.25">
      <c r="A419" t="s">
        <v>16</v>
      </c>
      <c r="B419" t="s">
        <v>40</v>
      </c>
      <c r="C419" t="s">
        <v>27</v>
      </c>
      <c r="D419">
        <v>369745</v>
      </c>
      <c r="N419" t="s">
        <v>32</v>
      </c>
      <c r="O419" t="s">
        <v>37</v>
      </c>
      <c r="P419" t="s">
        <v>19</v>
      </c>
      <c r="Q419">
        <v>4866</v>
      </c>
    </row>
    <row r="420" spans="1:17" x14ac:dyDescent="0.25">
      <c r="A420" t="s">
        <v>28</v>
      </c>
      <c r="B420" t="s">
        <v>40</v>
      </c>
      <c r="C420" t="s">
        <v>18</v>
      </c>
      <c r="D420">
        <v>55742</v>
      </c>
      <c r="N420" t="s">
        <v>32</v>
      </c>
      <c r="O420" t="s">
        <v>37</v>
      </c>
      <c r="P420" t="s">
        <v>20</v>
      </c>
      <c r="Q420">
        <v>4423</v>
      </c>
    </row>
    <row r="421" spans="1:17" x14ac:dyDescent="0.25">
      <c r="A421" t="s">
        <v>28</v>
      </c>
      <c r="B421" t="s">
        <v>40</v>
      </c>
      <c r="C421" t="s">
        <v>19</v>
      </c>
      <c r="D421">
        <v>55484</v>
      </c>
      <c r="N421" t="s">
        <v>32</v>
      </c>
      <c r="O421" t="s">
        <v>37</v>
      </c>
      <c r="P421" t="s">
        <v>21</v>
      </c>
      <c r="Q421">
        <v>4312</v>
      </c>
    </row>
    <row r="422" spans="1:17" x14ac:dyDescent="0.25">
      <c r="A422" t="s">
        <v>28</v>
      </c>
      <c r="B422" t="s">
        <v>40</v>
      </c>
      <c r="C422" t="s">
        <v>20</v>
      </c>
      <c r="D422">
        <v>53240</v>
      </c>
      <c r="N422" t="s">
        <v>32</v>
      </c>
      <c r="O422" t="s">
        <v>37</v>
      </c>
      <c r="P422" t="s">
        <v>22</v>
      </c>
      <c r="Q422">
        <v>4369</v>
      </c>
    </row>
    <row r="423" spans="1:17" x14ac:dyDescent="0.25">
      <c r="A423" t="s">
        <v>28</v>
      </c>
      <c r="B423" t="s">
        <v>40</v>
      </c>
      <c r="C423" t="s">
        <v>21</v>
      </c>
      <c r="D423">
        <v>53536</v>
      </c>
      <c r="N423" t="s">
        <v>32</v>
      </c>
      <c r="O423" t="s">
        <v>37</v>
      </c>
      <c r="P423" t="s">
        <v>23</v>
      </c>
      <c r="Q423">
        <v>3828</v>
      </c>
    </row>
    <row r="424" spans="1:17" x14ac:dyDescent="0.25">
      <c r="A424" t="s">
        <v>28</v>
      </c>
      <c r="B424" t="s">
        <v>40</v>
      </c>
      <c r="C424" t="s">
        <v>22</v>
      </c>
      <c r="D424">
        <v>51083</v>
      </c>
      <c r="N424" t="s">
        <v>32</v>
      </c>
      <c r="O424" t="s">
        <v>37</v>
      </c>
      <c r="P424" t="s">
        <v>24</v>
      </c>
      <c r="Q424">
        <v>3862</v>
      </c>
    </row>
    <row r="425" spans="1:17" x14ac:dyDescent="0.25">
      <c r="A425" t="s">
        <v>28</v>
      </c>
      <c r="B425" t="s">
        <v>40</v>
      </c>
      <c r="C425" t="s">
        <v>23</v>
      </c>
      <c r="D425">
        <v>53097</v>
      </c>
      <c r="N425" t="s">
        <v>32</v>
      </c>
      <c r="O425" t="s">
        <v>37</v>
      </c>
      <c r="P425" t="s">
        <v>25</v>
      </c>
      <c r="Q425">
        <v>4060</v>
      </c>
    </row>
    <row r="426" spans="1:17" x14ac:dyDescent="0.25">
      <c r="A426" t="s">
        <v>28</v>
      </c>
      <c r="B426" t="s">
        <v>40</v>
      </c>
      <c r="C426" t="s">
        <v>24</v>
      </c>
      <c r="D426">
        <v>51513</v>
      </c>
      <c r="N426" t="s">
        <v>32</v>
      </c>
      <c r="O426" t="s">
        <v>37</v>
      </c>
      <c r="P426" t="s">
        <v>26</v>
      </c>
      <c r="Q426">
        <v>3990</v>
      </c>
    </row>
    <row r="427" spans="1:17" x14ac:dyDescent="0.25">
      <c r="A427" t="s">
        <v>28</v>
      </c>
      <c r="B427" t="s">
        <v>40</v>
      </c>
      <c r="C427" t="s">
        <v>25</v>
      </c>
      <c r="D427">
        <v>51875</v>
      </c>
      <c r="N427" t="s">
        <v>32</v>
      </c>
      <c r="O427" t="s">
        <v>37</v>
      </c>
      <c r="P427" t="s">
        <v>27</v>
      </c>
      <c r="Q427">
        <v>3720</v>
      </c>
    </row>
    <row r="428" spans="1:17" x14ac:dyDescent="0.25">
      <c r="A428" t="s">
        <v>28</v>
      </c>
      <c r="B428" t="s">
        <v>40</v>
      </c>
      <c r="C428" t="s">
        <v>26</v>
      </c>
      <c r="D428">
        <v>49576</v>
      </c>
      <c r="N428" t="s">
        <v>32</v>
      </c>
      <c r="O428" t="s">
        <v>37</v>
      </c>
      <c r="P428" t="s">
        <v>43</v>
      </c>
      <c r="Q428">
        <v>4309</v>
      </c>
    </row>
    <row r="429" spans="1:17" x14ac:dyDescent="0.25">
      <c r="A429" t="s">
        <v>28</v>
      </c>
      <c r="B429" t="s">
        <v>40</v>
      </c>
      <c r="C429" t="s">
        <v>27</v>
      </c>
      <c r="D429">
        <v>42515</v>
      </c>
      <c r="N429" t="s">
        <v>32</v>
      </c>
      <c r="O429" t="s">
        <v>37</v>
      </c>
      <c r="P429" t="s">
        <v>44</v>
      </c>
      <c r="Q429">
        <v>4715</v>
      </c>
    </row>
    <row r="430" spans="1:17" x14ac:dyDescent="0.25">
      <c r="A430" t="s">
        <v>29</v>
      </c>
      <c r="B430" t="s">
        <v>40</v>
      </c>
      <c r="C430" t="s">
        <v>18</v>
      </c>
      <c r="D430">
        <v>31772</v>
      </c>
      <c r="N430" t="s">
        <v>33</v>
      </c>
      <c r="O430" t="s">
        <v>38</v>
      </c>
      <c r="P430" t="s">
        <v>18</v>
      </c>
      <c r="Q430">
        <v>5681</v>
      </c>
    </row>
    <row r="431" spans="1:17" x14ac:dyDescent="0.25">
      <c r="A431" t="s">
        <v>29</v>
      </c>
      <c r="B431" t="s">
        <v>40</v>
      </c>
      <c r="C431" t="s">
        <v>19</v>
      </c>
      <c r="D431">
        <v>34738</v>
      </c>
      <c r="N431" t="s">
        <v>33</v>
      </c>
      <c r="O431" t="s">
        <v>38</v>
      </c>
      <c r="P431" t="s">
        <v>19</v>
      </c>
      <c r="Q431">
        <v>5198</v>
      </c>
    </row>
    <row r="432" spans="1:17" x14ac:dyDescent="0.25">
      <c r="A432" t="s">
        <v>29</v>
      </c>
      <c r="B432" t="s">
        <v>40</v>
      </c>
      <c r="C432" t="s">
        <v>20</v>
      </c>
      <c r="D432">
        <v>33234</v>
      </c>
      <c r="N432" t="s">
        <v>33</v>
      </c>
      <c r="O432" t="s">
        <v>38</v>
      </c>
      <c r="P432" t="s">
        <v>20</v>
      </c>
      <c r="Q432">
        <v>5252</v>
      </c>
    </row>
    <row r="433" spans="1:17" x14ac:dyDescent="0.25">
      <c r="A433" t="s">
        <v>29</v>
      </c>
      <c r="B433" t="s">
        <v>40</v>
      </c>
      <c r="C433" t="s">
        <v>21</v>
      </c>
      <c r="D433">
        <v>31162</v>
      </c>
      <c r="N433" t="s">
        <v>33</v>
      </c>
      <c r="O433" t="s">
        <v>38</v>
      </c>
      <c r="P433" t="s">
        <v>21</v>
      </c>
      <c r="Q433">
        <v>5656</v>
      </c>
    </row>
    <row r="434" spans="1:17" x14ac:dyDescent="0.25">
      <c r="A434" t="s">
        <v>29</v>
      </c>
      <c r="B434" t="s">
        <v>40</v>
      </c>
      <c r="C434" t="s">
        <v>22</v>
      </c>
      <c r="D434">
        <v>30622</v>
      </c>
      <c r="N434" t="s">
        <v>33</v>
      </c>
      <c r="O434" t="s">
        <v>38</v>
      </c>
      <c r="P434" t="s">
        <v>22</v>
      </c>
      <c r="Q434">
        <v>5996</v>
      </c>
    </row>
    <row r="435" spans="1:17" x14ac:dyDescent="0.25">
      <c r="A435" t="s">
        <v>29</v>
      </c>
      <c r="B435" t="s">
        <v>40</v>
      </c>
      <c r="C435" t="s">
        <v>23</v>
      </c>
      <c r="D435">
        <v>29733</v>
      </c>
      <c r="N435" t="s">
        <v>33</v>
      </c>
      <c r="O435" t="s">
        <v>38</v>
      </c>
      <c r="P435" t="s">
        <v>23</v>
      </c>
      <c r="Q435">
        <v>6702</v>
      </c>
    </row>
    <row r="436" spans="1:17" x14ac:dyDescent="0.25">
      <c r="A436" t="s">
        <v>29</v>
      </c>
      <c r="B436" t="s">
        <v>40</v>
      </c>
      <c r="C436" t="s">
        <v>24</v>
      </c>
      <c r="D436">
        <v>28653</v>
      </c>
      <c r="N436" t="s">
        <v>33</v>
      </c>
      <c r="O436" t="s">
        <v>38</v>
      </c>
      <c r="P436" t="s">
        <v>24</v>
      </c>
      <c r="Q436">
        <v>6757</v>
      </c>
    </row>
    <row r="437" spans="1:17" x14ac:dyDescent="0.25">
      <c r="A437" t="s">
        <v>29</v>
      </c>
      <c r="B437" t="s">
        <v>40</v>
      </c>
      <c r="C437" t="s">
        <v>25</v>
      </c>
      <c r="D437">
        <v>28778</v>
      </c>
      <c r="N437" t="s">
        <v>33</v>
      </c>
      <c r="O437" t="s">
        <v>38</v>
      </c>
      <c r="P437" t="s">
        <v>25</v>
      </c>
      <c r="Q437">
        <v>7091</v>
      </c>
    </row>
    <row r="438" spans="1:17" x14ac:dyDescent="0.25">
      <c r="A438" t="s">
        <v>29</v>
      </c>
      <c r="B438" t="s">
        <v>40</v>
      </c>
      <c r="C438" t="s">
        <v>26</v>
      </c>
      <c r="D438">
        <v>27567</v>
      </c>
      <c r="N438" t="s">
        <v>33</v>
      </c>
      <c r="O438" t="s">
        <v>38</v>
      </c>
      <c r="P438" t="s">
        <v>26</v>
      </c>
      <c r="Q438">
        <v>7672</v>
      </c>
    </row>
    <row r="439" spans="1:17" x14ac:dyDescent="0.25">
      <c r="A439" t="s">
        <v>29</v>
      </c>
      <c r="B439" t="s">
        <v>40</v>
      </c>
      <c r="C439" t="s">
        <v>27</v>
      </c>
      <c r="D439">
        <v>22626</v>
      </c>
      <c r="N439" t="s">
        <v>33</v>
      </c>
      <c r="O439" t="s">
        <v>38</v>
      </c>
      <c r="P439" t="s">
        <v>27</v>
      </c>
      <c r="Q439">
        <v>7004</v>
      </c>
    </row>
    <row r="440" spans="1:17" x14ac:dyDescent="0.25">
      <c r="A440" t="s">
        <v>30</v>
      </c>
      <c r="B440" t="s">
        <v>40</v>
      </c>
      <c r="C440" t="s">
        <v>18</v>
      </c>
      <c r="D440">
        <v>147690</v>
      </c>
      <c r="N440" t="s">
        <v>33</v>
      </c>
      <c r="O440" t="s">
        <v>38</v>
      </c>
      <c r="P440" t="s">
        <v>43</v>
      </c>
      <c r="Q440">
        <v>5151</v>
      </c>
    </row>
    <row r="441" spans="1:17" x14ac:dyDescent="0.25">
      <c r="A441" t="s">
        <v>30</v>
      </c>
      <c r="B441" t="s">
        <v>40</v>
      </c>
      <c r="C441" t="s">
        <v>19</v>
      </c>
      <c r="D441">
        <v>153759</v>
      </c>
      <c r="N441" t="s">
        <v>33</v>
      </c>
      <c r="O441" t="s">
        <v>38</v>
      </c>
      <c r="P441" t="s">
        <v>44</v>
      </c>
      <c r="Q441">
        <v>5052</v>
      </c>
    </row>
    <row r="442" spans="1:17" x14ac:dyDescent="0.25">
      <c r="A442" t="s">
        <v>30</v>
      </c>
      <c r="B442" t="s">
        <v>40</v>
      </c>
      <c r="C442" t="s">
        <v>20</v>
      </c>
      <c r="D442">
        <v>155188</v>
      </c>
      <c r="N442" t="s">
        <v>33</v>
      </c>
      <c r="O442" t="s">
        <v>17</v>
      </c>
      <c r="P442" t="s">
        <v>18</v>
      </c>
      <c r="Q442">
        <v>36661</v>
      </c>
    </row>
    <row r="443" spans="1:17" x14ac:dyDescent="0.25">
      <c r="A443" t="s">
        <v>30</v>
      </c>
      <c r="B443" t="s">
        <v>40</v>
      </c>
      <c r="C443" t="s">
        <v>21</v>
      </c>
      <c r="D443">
        <v>155912</v>
      </c>
      <c r="N443" t="s">
        <v>33</v>
      </c>
      <c r="O443" t="s">
        <v>17</v>
      </c>
      <c r="P443" t="s">
        <v>19</v>
      </c>
      <c r="Q443">
        <v>33692</v>
      </c>
    </row>
    <row r="444" spans="1:17" x14ac:dyDescent="0.25">
      <c r="A444" t="s">
        <v>30</v>
      </c>
      <c r="B444" t="s">
        <v>40</v>
      </c>
      <c r="C444" t="s">
        <v>22</v>
      </c>
      <c r="D444">
        <v>150955</v>
      </c>
      <c r="N444" t="s">
        <v>33</v>
      </c>
      <c r="O444" t="s">
        <v>17</v>
      </c>
      <c r="P444" t="s">
        <v>20</v>
      </c>
      <c r="Q444">
        <v>31775</v>
      </c>
    </row>
    <row r="445" spans="1:17" x14ac:dyDescent="0.25">
      <c r="A445" t="s">
        <v>30</v>
      </c>
      <c r="B445" t="s">
        <v>40</v>
      </c>
      <c r="C445" t="s">
        <v>23</v>
      </c>
      <c r="D445">
        <v>154761</v>
      </c>
      <c r="N445" t="s">
        <v>33</v>
      </c>
      <c r="O445" t="s">
        <v>17</v>
      </c>
      <c r="P445" t="s">
        <v>21</v>
      </c>
      <c r="Q445">
        <v>31886</v>
      </c>
    </row>
    <row r="446" spans="1:17" x14ac:dyDescent="0.25">
      <c r="A446" t="s">
        <v>30</v>
      </c>
      <c r="B446" t="s">
        <v>40</v>
      </c>
      <c r="C446" t="s">
        <v>24</v>
      </c>
      <c r="D446">
        <v>140476</v>
      </c>
      <c r="N446" t="s">
        <v>33</v>
      </c>
      <c r="O446" t="s">
        <v>17</v>
      </c>
      <c r="P446" t="s">
        <v>22</v>
      </c>
      <c r="Q446">
        <v>32737</v>
      </c>
    </row>
    <row r="447" spans="1:17" x14ac:dyDescent="0.25">
      <c r="A447" t="s">
        <v>30</v>
      </c>
      <c r="B447" t="s">
        <v>40</v>
      </c>
      <c r="C447" t="s">
        <v>25</v>
      </c>
      <c r="D447">
        <v>133563</v>
      </c>
      <c r="N447" t="s">
        <v>33</v>
      </c>
      <c r="O447" t="s">
        <v>17</v>
      </c>
      <c r="P447" t="s">
        <v>23</v>
      </c>
      <c r="Q447">
        <v>33381</v>
      </c>
    </row>
    <row r="448" spans="1:17" x14ac:dyDescent="0.25">
      <c r="A448" t="s">
        <v>30</v>
      </c>
      <c r="B448" t="s">
        <v>40</v>
      </c>
      <c r="C448" t="s">
        <v>26</v>
      </c>
      <c r="D448">
        <v>126844</v>
      </c>
      <c r="N448" t="s">
        <v>33</v>
      </c>
      <c r="O448" t="s">
        <v>17</v>
      </c>
      <c r="P448" t="s">
        <v>24</v>
      </c>
      <c r="Q448">
        <v>32646</v>
      </c>
    </row>
    <row r="449" spans="1:17" x14ac:dyDescent="0.25">
      <c r="A449" t="s">
        <v>30</v>
      </c>
      <c r="B449" t="s">
        <v>40</v>
      </c>
      <c r="C449" t="s">
        <v>27</v>
      </c>
      <c r="D449">
        <v>90906</v>
      </c>
      <c r="N449" t="s">
        <v>33</v>
      </c>
      <c r="O449" t="s">
        <v>17</v>
      </c>
      <c r="P449" t="s">
        <v>25</v>
      </c>
      <c r="Q449">
        <v>34885</v>
      </c>
    </row>
    <row r="450" spans="1:17" x14ac:dyDescent="0.25">
      <c r="A450" t="s">
        <v>31</v>
      </c>
      <c r="B450" t="s">
        <v>40</v>
      </c>
      <c r="C450" t="s">
        <v>18</v>
      </c>
      <c r="D450">
        <v>84433</v>
      </c>
      <c r="N450" t="s">
        <v>33</v>
      </c>
      <c r="O450" t="s">
        <v>17</v>
      </c>
      <c r="P450" t="s">
        <v>26</v>
      </c>
      <c r="Q450">
        <v>35622</v>
      </c>
    </row>
    <row r="451" spans="1:17" x14ac:dyDescent="0.25">
      <c r="A451" t="s">
        <v>31</v>
      </c>
      <c r="B451" t="s">
        <v>40</v>
      </c>
      <c r="C451" t="s">
        <v>19</v>
      </c>
      <c r="D451">
        <v>91128</v>
      </c>
      <c r="N451" t="s">
        <v>33</v>
      </c>
      <c r="O451" t="s">
        <v>17</v>
      </c>
      <c r="P451" t="s">
        <v>27</v>
      </c>
      <c r="Q451">
        <v>31488</v>
      </c>
    </row>
    <row r="452" spans="1:17" x14ac:dyDescent="0.25">
      <c r="A452" t="s">
        <v>31</v>
      </c>
      <c r="B452" t="s">
        <v>40</v>
      </c>
      <c r="C452" t="s">
        <v>20</v>
      </c>
      <c r="D452">
        <v>88205</v>
      </c>
      <c r="N452" t="s">
        <v>33</v>
      </c>
      <c r="O452" t="s">
        <v>17</v>
      </c>
      <c r="P452" t="s">
        <v>43</v>
      </c>
      <c r="Q452">
        <v>36099</v>
      </c>
    </row>
    <row r="453" spans="1:17" x14ac:dyDescent="0.25">
      <c r="A453" t="s">
        <v>31</v>
      </c>
      <c r="B453" t="s">
        <v>40</v>
      </c>
      <c r="C453" t="s">
        <v>21</v>
      </c>
      <c r="D453">
        <v>86814</v>
      </c>
      <c r="N453" t="s">
        <v>33</v>
      </c>
      <c r="O453" t="s">
        <v>17</v>
      </c>
      <c r="P453" t="s">
        <v>44</v>
      </c>
      <c r="Q453">
        <v>36565</v>
      </c>
    </row>
    <row r="454" spans="1:17" x14ac:dyDescent="0.25">
      <c r="A454" t="s">
        <v>31</v>
      </c>
      <c r="B454" t="s">
        <v>40</v>
      </c>
      <c r="C454" t="s">
        <v>22</v>
      </c>
      <c r="D454">
        <v>86385</v>
      </c>
      <c r="N454" t="s">
        <v>33</v>
      </c>
      <c r="O454" t="s">
        <v>39</v>
      </c>
      <c r="P454" t="s">
        <v>18</v>
      </c>
      <c r="Q454">
        <v>6714</v>
      </c>
    </row>
    <row r="455" spans="1:17" x14ac:dyDescent="0.25">
      <c r="A455" t="s">
        <v>31</v>
      </c>
      <c r="B455" t="s">
        <v>40</v>
      </c>
      <c r="C455" t="s">
        <v>23</v>
      </c>
      <c r="D455">
        <v>83492</v>
      </c>
      <c r="N455" t="s">
        <v>33</v>
      </c>
      <c r="O455" t="s">
        <v>39</v>
      </c>
      <c r="P455" t="s">
        <v>19</v>
      </c>
      <c r="Q455">
        <v>6355</v>
      </c>
    </row>
    <row r="456" spans="1:17" x14ac:dyDescent="0.25">
      <c r="A456" t="s">
        <v>31</v>
      </c>
      <c r="B456" t="s">
        <v>40</v>
      </c>
      <c r="C456" t="s">
        <v>24</v>
      </c>
      <c r="D456">
        <v>80207</v>
      </c>
      <c r="N456" t="s">
        <v>33</v>
      </c>
      <c r="O456" t="s">
        <v>39</v>
      </c>
      <c r="P456" t="s">
        <v>20</v>
      </c>
      <c r="Q456">
        <v>5972</v>
      </c>
    </row>
    <row r="457" spans="1:17" x14ac:dyDescent="0.25">
      <c r="A457" t="s">
        <v>31</v>
      </c>
      <c r="B457" t="s">
        <v>40</v>
      </c>
      <c r="C457" t="s">
        <v>25</v>
      </c>
      <c r="D457">
        <v>78995</v>
      </c>
      <c r="N457" t="s">
        <v>33</v>
      </c>
      <c r="O457" t="s">
        <v>39</v>
      </c>
      <c r="P457" t="s">
        <v>21</v>
      </c>
      <c r="Q457">
        <v>6130</v>
      </c>
    </row>
    <row r="458" spans="1:17" x14ac:dyDescent="0.25">
      <c r="A458" t="s">
        <v>31</v>
      </c>
      <c r="B458" t="s">
        <v>40</v>
      </c>
      <c r="C458" t="s">
        <v>26</v>
      </c>
      <c r="D458">
        <v>74804</v>
      </c>
      <c r="N458" t="s">
        <v>33</v>
      </c>
      <c r="O458" t="s">
        <v>39</v>
      </c>
      <c r="P458" t="s">
        <v>22</v>
      </c>
      <c r="Q458">
        <v>6113</v>
      </c>
    </row>
    <row r="459" spans="1:17" x14ac:dyDescent="0.25">
      <c r="A459" t="s">
        <v>31</v>
      </c>
      <c r="B459" t="s">
        <v>40</v>
      </c>
      <c r="C459" t="s">
        <v>27</v>
      </c>
      <c r="D459">
        <v>62054</v>
      </c>
      <c r="N459" t="s">
        <v>33</v>
      </c>
      <c r="O459" t="s">
        <v>39</v>
      </c>
      <c r="P459" t="s">
        <v>23</v>
      </c>
      <c r="Q459">
        <v>5834</v>
      </c>
    </row>
    <row r="460" spans="1:17" x14ac:dyDescent="0.25">
      <c r="A460" t="s">
        <v>32</v>
      </c>
      <c r="B460" t="s">
        <v>40</v>
      </c>
      <c r="C460" t="s">
        <v>18</v>
      </c>
      <c r="D460">
        <v>29335</v>
      </c>
      <c r="N460" t="s">
        <v>33</v>
      </c>
      <c r="O460" t="s">
        <v>39</v>
      </c>
      <c r="P460" t="s">
        <v>24</v>
      </c>
      <c r="Q460">
        <v>5773</v>
      </c>
    </row>
    <row r="461" spans="1:17" x14ac:dyDescent="0.25">
      <c r="A461" t="s">
        <v>32</v>
      </c>
      <c r="B461" t="s">
        <v>40</v>
      </c>
      <c r="C461" t="s">
        <v>19</v>
      </c>
      <c r="D461">
        <v>28533</v>
      </c>
      <c r="N461" t="s">
        <v>33</v>
      </c>
      <c r="O461" t="s">
        <v>39</v>
      </c>
      <c r="P461" t="s">
        <v>25</v>
      </c>
      <c r="Q461">
        <v>6031</v>
      </c>
    </row>
    <row r="462" spans="1:17" x14ac:dyDescent="0.25">
      <c r="A462" t="s">
        <v>32</v>
      </c>
      <c r="B462" t="s">
        <v>40</v>
      </c>
      <c r="C462" t="s">
        <v>20</v>
      </c>
      <c r="D462">
        <v>31479</v>
      </c>
      <c r="N462" t="s">
        <v>33</v>
      </c>
      <c r="O462" t="s">
        <v>39</v>
      </c>
      <c r="P462" t="s">
        <v>26</v>
      </c>
      <c r="Q462">
        <v>6200</v>
      </c>
    </row>
    <row r="463" spans="1:17" x14ac:dyDescent="0.25">
      <c r="A463" t="s">
        <v>32</v>
      </c>
      <c r="B463" t="s">
        <v>40</v>
      </c>
      <c r="C463" t="s">
        <v>21</v>
      </c>
      <c r="D463">
        <v>31669</v>
      </c>
      <c r="N463" t="s">
        <v>33</v>
      </c>
      <c r="O463" t="s">
        <v>39</v>
      </c>
      <c r="P463" t="s">
        <v>27</v>
      </c>
      <c r="Q463">
        <v>5703</v>
      </c>
    </row>
    <row r="464" spans="1:17" x14ac:dyDescent="0.25">
      <c r="A464" t="s">
        <v>32</v>
      </c>
      <c r="B464" t="s">
        <v>40</v>
      </c>
      <c r="C464" t="s">
        <v>22</v>
      </c>
      <c r="D464">
        <v>32081</v>
      </c>
      <c r="N464" t="s">
        <v>33</v>
      </c>
      <c r="O464" t="s">
        <v>39</v>
      </c>
      <c r="P464" t="s">
        <v>43</v>
      </c>
      <c r="Q464">
        <v>6272</v>
      </c>
    </row>
    <row r="465" spans="1:17" x14ac:dyDescent="0.25">
      <c r="A465" t="s">
        <v>32</v>
      </c>
      <c r="B465" t="s">
        <v>40</v>
      </c>
      <c r="C465" t="s">
        <v>23</v>
      </c>
      <c r="D465">
        <v>31240</v>
      </c>
      <c r="N465" t="s">
        <v>33</v>
      </c>
      <c r="O465" t="s">
        <v>39</v>
      </c>
      <c r="P465" t="s">
        <v>44</v>
      </c>
      <c r="Q465">
        <v>6024</v>
      </c>
    </row>
    <row r="466" spans="1:17" x14ac:dyDescent="0.25">
      <c r="A466" t="s">
        <v>32</v>
      </c>
      <c r="B466" t="s">
        <v>40</v>
      </c>
      <c r="C466" t="s">
        <v>24</v>
      </c>
      <c r="D466">
        <v>28725</v>
      </c>
      <c r="N466" t="s">
        <v>33</v>
      </c>
      <c r="O466" t="s">
        <v>42</v>
      </c>
      <c r="P466" t="s">
        <v>18</v>
      </c>
      <c r="Q466">
        <v>8657</v>
      </c>
    </row>
    <row r="467" spans="1:17" x14ac:dyDescent="0.25">
      <c r="A467" t="s">
        <v>32</v>
      </c>
      <c r="B467" t="s">
        <v>40</v>
      </c>
      <c r="C467" t="s">
        <v>25</v>
      </c>
      <c r="D467">
        <v>28468</v>
      </c>
      <c r="N467" t="s">
        <v>33</v>
      </c>
      <c r="O467" t="s">
        <v>42</v>
      </c>
      <c r="P467" t="s">
        <v>19</v>
      </c>
      <c r="Q467">
        <v>10740</v>
      </c>
    </row>
    <row r="468" spans="1:17" x14ac:dyDescent="0.25">
      <c r="A468" t="s">
        <v>32</v>
      </c>
      <c r="B468" t="s">
        <v>40</v>
      </c>
      <c r="C468" t="s">
        <v>26</v>
      </c>
      <c r="D468">
        <v>28449</v>
      </c>
      <c r="N468" t="s">
        <v>33</v>
      </c>
      <c r="O468" t="s">
        <v>42</v>
      </c>
      <c r="P468" t="s">
        <v>20</v>
      </c>
      <c r="Q468">
        <v>11534</v>
      </c>
    </row>
    <row r="469" spans="1:17" x14ac:dyDescent="0.25">
      <c r="A469" t="s">
        <v>32</v>
      </c>
      <c r="B469" t="s">
        <v>40</v>
      </c>
      <c r="C469" t="s">
        <v>27</v>
      </c>
      <c r="D469">
        <v>22993</v>
      </c>
      <c r="N469" t="s">
        <v>33</v>
      </c>
      <c r="O469" t="s">
        <v>42</v>
      </c>
      <c r="P469" t="s">
        <v>21</v>
      </c>
      <c r="Q469">
        <v>12929</v>
      </c>
    </row>
    <row r="470" spans="1:17" x14ac:dyDescent="0.25">
      <c r="A470" t="s">
        <v>33</v>
      </c>
      <c r="B470" t="s">
        <v>40</v>
      </c>
      <c r="C470" t="s">
        <v>18</v>
      </c>
      <c r="D470">
        <v>36169</v>
      </c>
      <c r="N470" t="s">
        <v>33</v>
      </c>
      <c r="O470" t="s">
        <v>42</v>
      </c>
      <c r="P470" t="s">
        <v>22</v>
      </c>
      <c r="Q470">
        <v>14539</v>
      </c>
    </row>
    <row r="471" spans="1:17" x14ac:dyDescent="0.25">
      <c r="A471" t="s">
        <v>33</v>
      </c>
      <c r="B471" t="s">
        <v>40</v>
      </c>
      <c r="C471" t="s">
        <v>19</v>
      </c>
      <c r="D471">
        <v>36312</v>
      </c>
      <c r="N471" t="s">
        <v>33</v>
      </c>
      <c r="O471" t="s">
        <v>42</v>
      </c>
      <c r="P471" t="s">
        <v>23</v>
      </c>
      <c r="Q471">
        <v>16902</v>
      </c>
    </row>
    <row r="472" spans="1:17" x14ac:dyDescent="0.25">
      <c r="A472" t="s">
        <v>33</v>
      </c>
      <c r="B472" t="s">
        <v>40</v>
      </c>
      <c r="C472" t="s">
        <v>20</v>
      </c>
      <c r="D472">
        <v>35978</v>
      </c>
      <c r="N472" t="s">
        <v>33</v>
      </c>
      <c r="O472" t="s">
        <v>42</v>
      </c>
      <c r="P472" t="s">
        <v>24</v>
      </c>
      <c r="Q472">
        <v>18434</v>
      </c>
    </row>
    <row r="473" spans="1:17" x14ac:dyDescent="0.25">
      <c r="A473" t="s">
        <v>33</v>
      </c>
      <c r="B473" t="s">
        <v>40</v>
      </c>
      <c r="C473" t="s">
        <v>21</v>
      </c>
      <c r="D473">
        <v>36218</v>
      </c>
      <c r="N473" t="s">
        <v>33</v>
      </c>
      <c r="O473" t="s">
        <v>42</v>
      </c>
      <c r="P473" t="s">
        <v>25</v>
      </c>
      <c r="Q473">
        <v>15205</v>
      </c>
    </row>
    <row r="474" spans="1:17" x14ac:dyDescent="0.25">
      <c r="A474" t="s">
        <v>33</v>
      </c>
      <c r="B474" t="s">
        <v>40</v>
      </c>
      <c r="C474" t="s">
        <v>22</v>
      </c>
      <c r="D474">
        <v>36107</v>
      </c>
      <c r="N474" t="s">
        <v>33</v>
      </c>
      <c r="O474" t="s">
        <v>42</v>
      </c>
      <c r="P474" t="s">
        <v>26</v>
      </c>
      <c r="Q474">
        <v>13267</v>
      </c>
    </row>
    <row r="475" spans="1:17" x14ac:dyDescent="0.25">
      <c r="A475" t="s">
        <v>33</v>
      </c>
      <c r="B475" t="s">
        <v>40</v>
      </c>
      <c r="C475" t="s">
        <v>23</v>
      </c>
      <c r="D475">
        <v>36666</v>
      </c>
      <c r="N475" t="s">
        <v>33</v>
      </c>
      <c r="O475" t="s">
        <v>42</v>
      </c>
      <c r="P475" t="s">
        <v>27</v>
      </c>
      <c r="Q475">
        <v>7167</v>
      </c>
    </row>
    <row r="476" spans="1:17" x14ac:dyDescent="0.25">
      <c r="A476" t="s">
        <v>33</v>
      </c>
      <c r="B476" t="s">
        <v>40</v>
      </c>
      <c r="C476" t="s">
        <v>24</v>
      </c>
      <c r="D476">
        <v>35716</v>
      </c>
      <c r="N476" t="s">
        <v>33</v>
      </c>
      <c r="O476" t="s">
        <v>42</v>
      </c>
      <c r="P476" t="s">
        <v>43</v>
      </c>
      <c r="Q476">
        <v>7667</v>
      </c>
    </row>
    <row r="477" spans="1:17" x14ac:dyDescent="0.25">
      <c r="A477" t="s">
        <v>33</v>
      </c>
      <c r="B477" t="s">
        <v>40</v>
      </c>
      <c r="C477" t="s">
        <v>25</v>
      </c>
      <c r="D477">
        <v>35008</v>
      </c>
      <c r="N477" t="s">
        <v>33</v>
      </c>
      <c r="O477" t="s">
        <v>42</v>
      </c>
      <c r="P477" t="s">
        <v>44</v>
      </c>
      <c r="Q477">
        <v>7262</v>
      </c>
    </row>
    <row r="478" spans="1:17" x14ac:dyDescent="0.25">
      <c r="A478" t="s">
        <v>33</v>
      </c>
      <c r="B478" t="s">
        <v>40</v>
      </c>
      <c r="C478" t="s">
        <v>26</v>
      </c>
      <c r="D478">
        <v>33035</v>
      </c>
      <c r="N478" t="s">
        <v>33</v>
      </c>
      <c r="O478" t="s">
        <v>41</v>
      </c>
      <c r="P478" t="s">
        <v>18</v>
      </c>
      <c r="Q478">
        <v>30893</v>
      </c>
    </row>
    <row r="479" spans="1:17" x14ac:dyDescent="0.25">
      <c r="A479" t="s">
        <v>33</v>
      </c>
      <c r="B479" t="s">
        <v>40</v>
      </c>
      <c r="C479" t="s">
        <v>27</v>
      </c>
      <c r="D479">
        <v>27237</v>
      </c>
      <c r="N479" t="s">
        <v>33</v>
      </c>
      <c r="O479" t="s">
        <v>41</v>
      </c>
      <c r="P479" t="s">
        <v>19</v>
      </c>
      <c r="Q479">
        <v>31130</v>
      </c>
    </row>
    <row r="480" spans="1:17" x14ac:dyDescent="0.25">
      <c r="A480" t="s">
        <v>34</v>
      </c>
      <c r="B480" t="s">
        <v>40</v>
      </c>
      <c r="C480" t="s">
        <v>18</v>
      </c>
      <c r="D480">
        <v>30389</v>
      </c>
      <c r="N480" t="s">
        <v>33</v>
      </c>
      <c r="O480" t="s">
        <v>41</v>
      </c>
      <c r="P480" t="s">
        <v>20</v>
      </c>
      <c r="Q480">
        <v>27795</v>
      </c>
    </row>
    <row r="481" spans="1:17" x14ac:dyDescent="0.25">
      <c r="A481" t="s">
        <v>34</v>
      </c>
      <c r="B481" t="s">
        <v>40</v>
      </c>
      <c r="C481" t="s">
        <v>19</v>
      </c>
      <c r="D481">
        <v>31725</v>
      </c>
      <c r="N481" t="s">
        <v>33</v>
      </c>
      <c r="O481" t="s">
        <v>41</v>
      </c>
      <c r="P481" t="s">
        <v>21</v>
      </c>
      <c r="Q481">
        <v>26882</v>
      </c>
    </row>
    <row r="482" spans="1:17" x14ac:dyDescent="0.25">
      <c r="A482" t="s">
        <v>34</v>
      </c>
      <c r="B482" t="s">
        <v>40</v>
      </c>
      <c r="C482" t="s">
        <v>20</v>
      </c>
      <c r="D482">
        <v>30657</v>
      </c>
      <c r="N482" t="s">
        <v>33</v>
      </c>
      <c r="O482" t="s">
        <v>41</v>
      </c>
      <c r="P482" t="s">
        <v>22</v>
      </c>
      <c r="Q482">
        <v>26546</v>
      </c>
    </row>
    <row r="483" spans="1:17" x14ac:dyDescent="0.25">
      <c r="A483" t="s">
        <v>34</v>
      </c>
      <c r="B483" t="s">
        <v>40</v>
      </c>
      <c r="C483" t="s">
        <v>21</v>
      </c>
      <c r="D483">
        <v>31674</v>
      </c>
      <c r="N483" t="s">
        <v>33</v>
      </c>
      <c r="O483" t="s">
        <v>41</v>
      </c>
      <c r="P483" t="s">
        <v>23</v>
      </c>
      <c r="Q483">
        <v>27060</v>
      </c>
    </row>
    <row r="484" spans="1:17" x14ac:dyDescent="0.25">
      <c r="A484" t="s">
        <v>34</v>
      </c>
      <c r="B484" t="s">
        <v>40</v>
      </c>
      <c r="C484" t="s">
        <v>22</v>
      </c>
      <c r="D484">
        <v>31469</v>
      </c>
      <c r="N484" t="s">
        <v>33</v>
      </c>
      <c r="O484" t="s">
        <v>41</v>
      </c>
      <c r="P484" t="s">
        <v>24</v>
      </c>
      <c r="Q484">
        <v>25492</v>
      </c>
    </row>
    <row r="485" spans="1:17" x14ac:dyDescent="0.25">
      <c r="A485" t="s">
        <v>34</v>
      </c>
      <c r="B485" t="s">
        <v>40</v>
      </c>
      <c r="C485" t="s">
        <v>23</v>
      </c>
      <c r="D485">
        <v>33503</v>
      </c>
      <c r="N485" t="s">
        <v>33</v>
      </c>
      <c r="O485" t="s">
        <v>41</v>
      </c>
      <c r="P485" t="s">
        <v>25</v>
      </c>
      <c r="Q485">
        <v>25235</v>
      </c>
    </row>
    <row r="486" spans="1:17" x14ac:dyDescent="0.25">
      <c r="A486" t="s">
        <v>34</v>
      </c>
      <c r="B486" t="s">
        <v>40</v>
      </c>
      <c r="C486" t="s">
        <v>24</v>
      </c>
      <c r="D486">
        <v>32255</v>
      </c>
      <c r="N486" t="s">
        <v>33</v>
      </c>
      <c r="O486" t="s">
        <v>41</v>
      </c>
      <c r="P486" t="s">
        <v>26</v>
      </c>
      <c r="Q486">
        <v>24367</v>
      </c>
    </row>
    <row r="487" spans="1:17" x14ac:dyDescent="0.25">
      <c r="A487" t="s">
        <v>34</v>
      </c>
      <c r="B487" t="s">
        <v>40</v>
      </c>
      <c r="C487" t="s">
        <v>25</v>
      </c>
      <c r="D487">
        <v>33039</v>
      </c>
      <c r="N487" t="s">
        <v>33</v>
      </c>
      <c r="O487" t="s">
        <v>41</v>
      </c>
      <c r="P487" t="s">
        <v>27</v>
      </c>
      <c r="Q487">
        <v>21271</v>
      </c>
    </row>
    <row r="488" spans="1:17" x14ac:dyDescent="0.25">
      <c r="A488" t="s">
        <v>34</v>
      </c>
      <c r="B488" t="s">
        <v>40</v>
      </c>
      <c r="C488" t="s">
        <v>26</v>
      </c>
      <c r="D488">
        <v>29877</v>
      </c>
      <c r="N488" t="s">
        <v>33</v>
      </c>
      <c r="O488" t="s">
        <v>41</v>
      </c>
      <c r="P488" t="s">
        <v>43</v>
      </c>
      <c r="Q488">
        <v>21914</v>
      </c>
    </row>
    <row r="489" spans="1:17" x14ac:dyDescent="0.25">
      <c r="A489" t="s">
        <v>34</v>
      </c>
      <c r="B489" t="s">
        <v>40</v>
      </c>
      <c r="C489" t="s">
        <v>27</v>
      </c>
      <c r="D489">
        <v>25247</v>
      </c>
      <c r="N489" t="s">
        <v>33</v>
      </c>
      <c r="O489" t="s">
        <v>41</v>
      </c>
      <c r="P489" t="s">
        <v>44</v>
      </c>
      <c r="Q489">
        <v>22758</v>
      </c>
    </row>
    <row r="490" spans="1:17" x14ac:dyDescent="0.25">
      <c r="A490" t="s">
        <v>35</v>
      </c>
      <c r="B490" t="s">
        <v>40</v>
      </c>
      <c r="C490" t="s">
        <v>18</v>
      </c>
      <c r="D490">
        <v>11081</v>
      </c>
      <c r="N490" t="s">
        <v>33</v>
      </c>
      <c r="O490" t="s">
        <v>40</v>
      </c>
      <c r="P490" t="s">
        <v>18</v>
      </c>
      <c r="Q490">
        <v>36169</v>
      </c>
    </row>
    <row r="491" spans="1:17" x14ac:dyDescent="0.25">
      <c r="A491" t="s">
        <v>35</v>
      </c>
      <c r="B491" t="s">
        <v>40</v>
      </c>
      <c r="C491" t="s">
        <v>19</v>
      </c>
      <c r="D491">
        <v>12533</v>
      </c>
      <c r="N491" t="s">
        <v>33</v>
      </c>
      <c r="O491" t="s">
        <v>40</v>
      </c>
      <c r="P491" t="s">
        <v>19</v>
      </c>
      <c r="Q491">
        <v>36312</v>
      </c>
    </row>
    <row r="492" spans="1:17" x14ac:dyDescent="0.25">
      <c r="A492" t="s">
        <v>35</v>
      </c>
      <c r="B492" t="s">
        <v>40</v>
      </c>
      <c r="C492" t="s">
        <v>20</v>
      </c>
      <c r="D492">
        <v>12886</v>
      </c>
      <c r="N492" t="s">
        <v>33</v>
      </c>
      <c r="O492" t="s">
        <v>40</v>
      </c>
      <c r="P492" t="s">
        <v>20</v>
      </c>
      <c r="Q492">
        <v>35978</v>
      </c>
    </row>
    <row r="493" spans="1:17" x14ac:dyDescent="0.25">
      <c r="A493" t="s">
        <v>35</v>
      </c>
      <c r="B493" t="s">
        <v>40</v>
      </c>
      <c r="C493" t="s">
        <v>21</v>
      </c>
      <c r="D493">
        <v>13030</v>
      </c>
      <c r="N493" t="s">
        <v>33</v>
      </c>
      <c r="O493" t="s">
        <v>40</v>
      </c>
      <c r="P493" t="s">
        <v>21</v>
      </c>
      <c r="Q493">
        <v>36218</v>
      </c>
    </row>
    <row r="494" spans="1:17" x14ac:dyDescent="0.25">
      <c r="A494" t="s">
        <v>35</v>
      </c>
      <c r="B494" t="s">
        <v>40</v>
      </c>
      <c r="C494" t="s">
        <v>22</v>
      </c>
      <c r="D494">
        <v>13212</v>
      </c>
      <c r="N494" t="s">
        <v>33</v>
      </c>
      <c r="O494" t="s">
        <v>40</v>
      </c>
      <c r="P494" t="s">
        <v>22</v>
      </c>
      <c r="Q494">
        <v>36107</v>
      </c>
    </row>
    <row r="495" spans="1:17" x14ac:dyDescent="0.25">
      <c r="A495" t="s">
        <v>35</v>
      </c>
      <c r="B495" t="s">
        <v>40</v>
      </c>
      <c r="C495" t="s">
        <v>23</v>
      </c>
      <c r="D495">
        <v>13407</v>
      </c>
      <c r="N495" t="s">
        <v>33</v>
      </c>
      <c r="O495" t="s">
        <v>40</v>
      </c>
      <c r="P495" t="s">
        <v>23</v>
      </c>
      <c r="Q495">
        <v>36666</v>
      </c>
    </row>
    <row r="496" spans="1:17" x14ac:dyDescent="0.25">
      <c r="A496" t="s">
        <v>35</v>
      </c>
      <c r="B496" t="s">
        <v>40</v>
      </c>
      <c r="C496" t="s">
        <v>24</v>
      </c>
      <c r="D496">
        <v>12800</v>
      </c>
      <c r="N496" t="s">
        <v>33</v>
      </c>
      <c r="O496" t="s">
        <v>40</v>
      </c>
      <c r="P496" t="s">
        <v>24</v>
      </c>
      <c r="Q496">
        <v>35716</v>
      </c>
    </row>
    <row r="497" spans="1:17" x14ac:dyDescent="0.25">
      <c r="A497" t="s">
        <v>35</v>
      </c>
      <c r="B497" t="s">
        <v>40</v>
      </c>
      <c r="C497" t="s">
        <v>25</v>
      </c>
      <c r="D497">
        <v>13420</v>
      </c>
      <c r="N497" t="s">
        <v>33</v>
      </c>
      <c r="O497" t="s">
        <v>40</v>
      </c>
      <c r="P497" t="s">
        <v>25</v>
      </c>
      <c r="Q497">
        <v>35008</v>
      </c>
    </row>
    <row r="498" spans="1:17" x14ac:dyDescent="0.25">
      <c r="A498" t="s">
        <v>35</v>
      </c>
      <c r="B498" t="s">
        <v>40</v>
      </c>
      <c r="C498" t="s">
        <v>26</v>
      </c>
      <c r="D498">
        <v>12735</v>
      </c>
      <c r="N498" t="s">
        <v>33</v>
      </c>
      <c r="O498" t="s">
        <v>40</v>
      </c>
      <c r="P498" t="s">
        <v>26</v>
      </c>
      <c r="Q498">
        <v>33035</v>
      </c>
    </row>
    <row r="499" spans="1:17" x14ac:dyDescent="0.25">
      <c r="A499" t="s">
        <v>35</v>
      </c>
      <c r="B499" t="s">
        <v>40</v>
      </c>
      <c r="C499" t="s">
        <v>27</v>
      </c>
      <c r="D499">
        <v>11428</v>
      </c>
      <c r="N499" t="s">
        <v>33</v>
      </c>
      <c r="O499" t="s">
        <v>40</v>
      </c>
      <c r="P499" t="s">
        <v>27</v>
      </c>
      <c r="Q499">
        <v>27237</v>
      </c>
    </row>
    <row r="500" spans="1:17" x14ac:dyDescent="0.25">
      <c r="A500" t="s">
        <v>36</v>
      </c>
      <c r="B500" t="s">
        <v>40</v>
      </c>
      <c r="C500" t="s">
        <v>18</v>
      </c>
      <c r="D500">
        <v>104013</v>
      </c>
      <c r="N500" t="s">
        <v>33</v>
      </c>
      <c r="O500" t="s">
        <v>40</v>
      </c>
      <c r="P500" t="s">
        <v>43</v>
      </c>
      <c r="Q500">
        <v>25176</v>
      </c>
    </row>
    <row r="501" spans="1:17" x14ac:dyDescent="0.25">
      <c r="A501" t="s">
        <v>36</v>
      </c>
      <c r="B501" t="s">
        <v>40</v>
      </c>
      <c r="C501" t="s">
        <v>19</v>
      </c>
      <c r="D501">
        <v>114122</v>
      </c>
      <c r="N501" t="s">
        <v>33</v>
      </c>
      <c r="O501" t="s">
        <v>40</v>
      </c>
      <c r="P501" t="s">
        <v>44</v>
      </c>
      <c r="Q501">
        <v>26434</v>
      </c>
    </row>
    <row r="502" spans="1:17" x14ac:dyDescent="0.25">
      <c r="A502" t="s">
        <v>36</v>
      </c>
      <c r="B502" t="s">
        <v>40</v>
      </c>
      <c r="C502" t="s">
        <v>20</v>
      </c>
      <c r="D502">
        <v>116773</v>
      </c>
      <c r="N502" t="s">
        <v>33</v>
      </c>
      <c r="O502" t="s">
        <v>37</v>
      </c>
      <c r="P502" t="s">
        <v>18</v>
      </c>
      <c r="Q502">
        <v>3955</v>
      </c>
    </row>
    <row r="503" spans="1:17" x14ac:dyDescent="0.25">
      <c r="A503" t="s">
        <v>36</v>
      </c>
      <c r="B503" t="s">
        <v>40</v>
      </c>
      <c r="C503" t="s">
        <v>21</v>
      </c>
      <c r="D503">
        <v>113472</v>
      </c>
      <c r="N503" t="s">
        <v>33</v>
      </c>
      <c r="O503" t="s">
        <v>37</v>
      </c>
      <c r="P503" t="s">
        <v>19</v>
      </c>
      <c r="Q503">
        <v>4065</v>
      </c>
    </row>
    <row r="504" spans="1:17" x14ac:dyDescent="0.25">
      <c r="A504" t="s">
        <v>36</v>
      </c>
      <c r="B504" t="s">
        <v>40</v>
      </c>
      <c r="C504" t="s">
        <v>22</v>
      </c>
      <c r="D504">
        <v>111610</v>
      </c>
      <c r="N504" t="s">
        <v>33</v>
      </c>
      <c r="O504" t="s">
        <v>37</v>
      </c>
      <c r="P504" t="s">
        <v>20</v>
      </c>
      <c r="Q504">
        <v>3797</v>
      </c>
    </row>
    <row r="505" spans="1:17" x14ac:dyDescent="0.25">
      <c r="A505" t="s">
        <v>36</v>
      </c>
      <c r="B505" t="s">
        <v>40</v>
      </c>
      <c r="C505" t="s">
        <v>23</v>
      </c>
      <c r="D505">
        <v>104754</v>
      </c>
      <c r="N505" t="s">
        <v>33</v>
      </c>
      <c r="O505" t="s">
        <v>37</v>
      </c>
      <c r="P505" t="s">
        <v>21</v>
      </c>
      <c r="Q505">
        <v>3474</v>
      </c>
    </row>
    <row r="506" spans="1:17" x14ac:dyDescent="0.25">
      <c r="A506" t="s">
        <v>36</v>
      </c>
      <c r="B506" t="s">
        <v>40</v>
      </c>
      <c r="C506" t="s">
        <v>24</v>
      </c>
      <c r="D506">
        <v>97630</v>
      </c>
      <c r="N506" t="s">
        <v>33</v>
      </c>
      <c r="O506" t="s">
        <v>37</v>
      </c>
      <c r="P506" t="s">
        <v>22</v>
      </c>
      <c r="Q506">
        <v>3331</v>
      </c>
    </row>
    <row r="507" spans="1:17" x14ac:dyDescent="0.25">
      <c r="A507" t="s">
        <v>36</v>
      </c>
      <c r="B507" t="s">
        <v>40</v>
      </c>
      <c r="C507" t="s">
        <v>25</v>
      </c>
      <c r="D507">
        <v>92015</v>
      </c>
      <c r="N507" t="s">
        <v>33</v>
      </c>
      <c r="O507" t="s">
        <v>37</v>
      </c>
      <c r="P507" t="s">
        <v>23</v>
      </c>
      <c r="Q507">
        <v>3216</v>
      </c>
    </row>
    <row r="508" spans="1:17" x14ac:dyDescent="0.25">
      <c r="A508" t="s">
        <v>36</v>
      </c>
      <c r="B508" t="s">
        <v>40</v>
      </c>
      <c r="C508" t="s">
        <v>26</v>
      </c>
      <c r="D508">
        <v>86337</v>
      </c>
      <c r="N508" t="s">
        <v>33</v>
      </c>
      <c r="O508" t="s">
        <v>37</v>
      </c>
      <c r="P508" t="s">
        <v>24</v>
      </c>
      <c r="Q508">
        <v>3198</v>
      </c>
    </row>
    <row r="509" spans="1:17" x14ac:dyDescent="0.25">
      <c r="A509" t="s">
        <v>36</v>
      </c>
      <c r="B509" t="s">
        <v>40</v>
      </c>
      <c r="C509" t="s">
        <v>27</v>
      </c>
      <c r="D509">
        <v>64739</v>
      </c>
      <c r="N509" t="s">
        <v>33</v>
      </c>
      <c r="O509" t="s">
        <v>37</v>
      </c>
      <c r="P509" t="s">
        <v>25</v>
      </c>
      <c r="Q509">
        <v>3470</v>
      </c>
    </row>
    <row r="510" spans="1:17" x14ac:dyDescent="0.25">
      <c r="A510" t="s">
        <v>16</v>
      </c>
      <c r="B510" t="s">
        <v>41</v>
      </c>
      <c r="C510" t="s">
        <v>18</v>
      </c>
      <c r="D510">
        <v>528296</v>
      </c>
      <c r="N510" t="s">
        <v>33</v>
      </c>
      <c r="O510" t="s">
        <v>37</v>
      </c>
      <c r="P510" t="s">
        <v>26</v>
      </c>
      <c r="Q510">
        <v>3513</v>
      </c>
    </row>
    <row r="511" spans="1:17" x14ac:dyDescent="0.25">
      <c r="A511" t="s">
        <v>16</v>
      </c>
      <c r="B511" t="s">
        <v>41</v>
      </c>
      <c r="C511" t="s">
        <v>19</v>
      </c>
      <c r="D511">
        <v>517252</v>
      </c>
      <c r="N511" t="s">
        <v>33</v>
      </c>
      <c r="O511" t="s">
        <v>37</v>
      </c>
      <c r="P511" t="s">
        <v>27</v>
      </c>
      <c r="Q511">
        <v>3134</v>
      </c>
    </row>
    <row r="512" spans="1:17" x14ac:dyDescent="0.25">
      <c r="A512" t="s">
        <v>16</v>
      </c>
      <c r="B512" t="s">
        <v>41</v>
      </c>
      <c r="C512" t="s">
        <v>20</v>
      </c>
      <c r="D512">
        <v>510748</v>
      </c>
      <c r="N512" t="s">
        <v>33</v>
      </c>
      <c r="O512" t="s">
        <v>37</v>
      </c>
      <c r="P512" t="s">
        <v>43</v>
      </c>
      <c r="Q512">
        <v>3553</v>
      </c>
    </row>
    <row r="513" spans="1:17" x14ac:dyDescent="0.25">
      <c r="A513" t="s">
        <v>16</v>
      </c>
      <c r="B513" t="s">
        <v>41</v>
      </c>
      <c r="C513" t="s">
        <v>21</v>
      </c>
      <c r="D513">
        <v>499698</v>
      </c>
      <c r="N513" t="s">
        <v>33</v>
      </c>
      <c r="O513" t="s">
        <v>37</v>
      </c>
      <c r="P513" t="s">
        <v>44</v>
      </c>
      <c r="Q513">
        <v>3321</v>
      </c>
    </row>
    <row r="514" spans="1:17" x14ac:dyDescent="0.25">
      <c r="A514" t="s">
        <v>16</v>
      </c>
      <c r="B514" t="s">
        <v>41</v>
      </c>
      <c r="C514" t="s">
        <v>22</v>
      </c>
      <c r="D514">
        <v>479075</v>
      </c>
      <c r="N514" t="s">
        <v>35</v>
      </c>
      <c r="O514" t="s">
        <v>38</v>
      </c>
      <c r="P514" t="s">
        <v>18</v>
      </c>
      <c r="Q514">
        <v>967</v>
      </c>
    </row>
    <row r="515" spans="1:17" x14ac:dyDescent="0.25">
      <c r="A515" t="s">
        <v>16</v>
      </c>
      <c r="B515" t="s">
        <v>41</v>
      </c>
      <c r="C515" t="s">
        <v>23</v>
      </c>
      <c r="D515">
        <v>469276</v>
      </c>
      <c r="N515" t="s">
        <v>35</v>
      </c>
      <c r="O515" t="s">
        <v>38</v>
      </c>
      <c r="P515" t="s">
        <v>19</v>
      </c>
      <c r="Q515">
        <v>1239</v>
      </c>
    </row>
    <row r="516" spans="1:17" x14ac:dyDescent="0.25">
      <c r="A516" t="s">
        <v>16</v>
      </c>
      <c r="B516" t="s">
        <v>41</v>
      </c>
      <c r="C516" t="s">
        <v>24</v>
      </c>
      <c r="D516">
        <v>438113</v>
      </c>
      <c r="N516" t="s">
        <v>35</v>
      </c>
      <c r="O516" t="s">
        <v>38</v>
      </c>
      <c r="P516" t="s">
        <v>20</v>
      </c>
      <c r="Q516">
        <v>1402</v>
      </c>
    </row>
    <row r="517" spans="1:17" x14ac:dyDescent="0.25">
      <c r="A517" t="s">
        <v>16</v>
      </c>
      <c r="B517" t="s">
        <v>41</v>
      </c>
      <c r="C517" t="s">
        <v>25</v>
      </c>
      <c r="D517">
        <v>444447</v>
      </c>
      <c r="N517" t="s">
        <v>35</v>
      </c>
      <c r="O517" t="s">
        <v>38</v>
      </c>
      <c r="P517" t="s">
        <v>21</v>
      </c>
      <c r="Q517">
        <v>1446</v>
      </c>
    </row>
    <row r="518" spans="1:17" x14ac:dyDescent="0.25">
      <c r="A518" t="s">
        <v>16</v>
      </c>
      <c r="B518" t="s">
        <v>41</v>
      </c>
      <c r="C518" t="s">
        <v>26</v>
      </c>
      <c r="D518">
        <v>426569</v>
      </c>
      <c r="N518" t="s">
        <v>35</v>
      </c>
      <c r="O518" t="s">
        <v>38</v>
      </c>
      <c r="P518" t="s">
        <v>22</v>
      </c>
      <c r="Q518">
        <v>1387</v>
      </c>
    </row>
    <row r="519" spans="1:17" x14ac:dyDescent="0.25">
      <c r="A519" t="s">
        <v>16</v>
      </c>
      <c r="B519" t="s">
        <v>41</v>
      </c>
      <c r="C519" t="s">
        <v>27</v>
      </c>
      <c r="D519">
        <v>354566</v>
      </c>
      <c r="N519" t="s">
        <v>35</v>
      </c>
      <c r="O519" t="s">
        <v>38</v>
      </c>
      <c r="P519" t="s">
        <v>23</v>
      </c>
      <c r="Q519">
        <v>1505</v>
      </c>
    </row>
    <row r="520" spans="1:17" x14ac:dyDescent="0.25">
      <c r="A520" t="s">
        <v>28</v>
      </c>
      <c r="B520" t="s">
        <v>41</v>
      </c>
      <c r="C520" t="s">
        <v>18</v>
      </c>
      <c r="D520">
        <v>43690</v>
      </c>
      <c r="N520" t="s">
        <v>35</v>
      </c>
      <c r="O520" t="s">
        <v>38</v>
      </c>
      <c r="P520" t="s">
        <v>24</v>
      </c>
      <c r="Q520">
        <v>1639</v>
      </c>
    </row>
    <row r="521" spans="1:17" x14ac:dyDescent="0.25">
      <c r="A521" t="s">
        <v>28</v>
      </c>
      <c r="B521" t="s">
        <v>41</v>
      </c>
      <c r="C521" t="s">
        <v>19</v>
      </c>
      <c r="D521">
        <v>40986</v>
      </c>
      <c r="N521" t="s">
        <v>35</v>
      </c>
      <c r="O521" t="s">
        <v>38</v>
      </c>
      <c r="P521" t="s">
        <v>25</v>
      </c>
      <c r="Q521">
        <v>1780</v>
      </c>
    </row>
    <row r="522" spans="1:17" x14ac:dyDescent="0.25">
      <c r="A522" t="s">
        <v>28</v>
      </c>
      <c r="B522" t="s">
        <v>41</v>
      </c>
      <c r="C522" t="s">
        <v>20</v>
      </c>
      <c r="D522">
        <v>40725</v>
      </c>
      <c r="N522" t="s">
        <v>35</v>
      </c>
      <c r="O522" t="s">
        <v>38</v>
      </c>
      <c r="P522" t="s">
        <v>26</v>
      </c>
      <c r="Q522">
        <v>1643</v>
      </c>
    </row>
    <row r="523" spans="1:17" x14ac:dyDescent="0.25">
      <c r="A523" t="s">
        <v>28</v>
      </c>
      <c r="B523" t="s">
        <v>41</v>
      </c>
      <c r="C523" t="s">
        <v>21</v>
      </c>
      <c r="D523">
        <v>37188</v>
      </c>
      <c r="N523" t="s">
        <v>35</v>
      </c>
      <c r="O523" t="s">
        <v>38</v>
      </c>
      <c r="P523" t="s">
        <v>27</v>
      </c>
      <c r="Q523">
        <v>1426</v>
      </c>
    </row>
    <row r="524" spans="1:17" x14ac:dyDescent="0.25">
      <c r="A524" t="s">
        <v>28</v>
      </c>
      <c r="B524" t="s">
        <v>41</v>
      </c>
      <c r="C524" t="s">
        <v>22</v>
      </c>
      <c r="D524">
        <v>35238</v>
      </c>
      <c r="N524" t="s">
        <v>35</v>
      </c>
      <c r="O524" t="s">
        <v>38</v>
      </c>
      <c r="P524" t="s">
        <v>43</v>
      </c>
      <c r="Q524">
        <v>377</v>
      </c>
    </row>
    <row r="525" spans="1:17" x14ac:dyDescent="0.25">
      <c r="A525" t="s">
        <v>28</v>
      </c>
      <c r="B525" t="s">
        <v>41</v>
      </c>
      <c r="C525" t="s">
        <v>23</v>
      </c>
      <c r="D525">
        <v>36461</v>
      </c>
      <c r="N525" t="s">
        <v>35</v>
      </c>
      <c r="O525" t="s">
        <v>38</v>
      </c>
      <c r="P525" t="s">
        <v>44</v>
      </c>
      <c r="Q525">
        <v>470</v>
      </c>
    </row>
    <row r="526" spans="1:17" x14ac:dyDescent="0.25">
      <c r="A526" t="s">
        <v>28</v>
      </c>
      <c r="B526" t="s">
        <v>41</v>
      </c>
      <c r="C526" t="s">
        <v>24</v>
      </c>
      <c r="D526">
        <v>34256</v>
      </c>
      <c r="N526" t="s">
        <v>35</v>
      </c>
      <c r="O526" t="s">
        <v>17</v>
      </c>
      <c r="P526" t="s">
        <v>18</v>
      </c>
      <c r="Q526">
        <v>18038</v>
      </c>
    </row>
    <row r="527" spans="1:17" x14ac:dyDescent="0.25">
      <c r="A527" t="s">
        <v>28</v>
      </c>
      <c r="B527" t="s">
        <v>41</v>
      </c>
      <c r="C527" t="s">
        <v>25</v>
      </c>
      <c r="D527">
        <v>36271</v>
      </c>
      <c r="N527" t="s">
        <v>35</v>
      </c>
      <c r="O527" t="s">
        <v>17</v>
      </c>
      <c r="P527" t="s">
        <v>19</v>
      </c>
      <c r="Q527">
        <v>18649</v>
      </c>
    </row>
    <row r="528" spans="1:17" x14ac:dyDescent="0.25">
      <c r="A528" t="s">
        <v>28</v>
      </c>
      <c r="B528" t="s">
        <v>41</v>
      </c>
      <c r="C528" t="s">
        <v>26</v>
      </c>
      <c r="D528">
        <v>37480</v>
      </c>
      <c r="N528" t="s">
        <v>35</v>
      </c>
      <c r="O528" t="s">
        <v>17</v>
      </c>
      <c r="P528" t="s">
        <v>20</v>
      </c>
      <c r="Q528">
        <v>18943</v>
      </c>
    </row>
    <row r="529" spans="1:17" x14ac:dyDescent="0.25">
      <c r="A529" t="s">
        <v>28</v>
      </c>
      <c r="B529" t="s">
        <v>41</v>
      </c>
      <c r="C529" t="s">
        <v>27</v>
      </c>
      <c r="D529">
        <v>32999</v>
      </c>
      <c r="N529" t="s">
        <v>35</v>
      </c>
      <c r="O529" t="s">
        <v>17</v>
      </c>
      <c r="P529" t="s">
        <v>21</v>
      </c>
      <c r="Q529">
        <v>18877</v>
      </c>
    </row>
    <row r="530" spans="1:17" x14ac:dyDescent="0.25">
      <c r="A530" t="s">
        <v>29</v>
      </c>
      <c r="B530" t="s">
        <v>41</v>
      </c>
      <c r="C530" t="s">
        <v>18</v>
      </c>
      <c r="D530">
        <v>29529</v>
      </c>
      <c r="N530" t="s">
        <v>35</v>
      </c>
      <c r="O530" t="s">
        <v>17</v>
      </c>
      <c r="P530" t="s">
        <v>22</v>
      </c>
      <c r="Q530">
        <v>18971</v>
      </c>
    </row>
    <row r="531" spans="1:17" x14ac:dyDescent="0.25">
      <c r="A531" t="s">
        <v>29</v>
      </c>
      <c r="B531" t="s">
        <v>41</v>
      </c>
      <c r="C531" t="s">
        <v>19</v>
      </c>
      <c r="D531">
        <v>28736</v>
      </c>
      <c r="N531" t="s">
        <v>35</v>
      </c>
      <c r="O531" t="s">
        <v>17</v>
      </c>
      <c r="P531" t="s">
        <v>23</v>
      </c>
      <c r="Q531">
        <v>18105</v>
      </c>
    </row>
    <row r="532" spans="1:17" x14ac:dyDescent="0.25">
      <c r="A532" t="s">
        <v>29</v>
      </c>
      <c r="B532" t="s">
        <v>41</v>
      </c>
      <c r="C532" t="s">
        <v>20</v>
      </c>
      <c r="D532">
        <v>26042</v>
      </c>
      <c r="N532" t="s">
        <v>35</v>
      </c>
      <c r="O532" t="s">
        <v>17</v>
      </c>
      <c r="P532" t="s">
        <v>24</v>
      </c>
      <c r="Q532">
        <v>17380</v>
      </c>
    </row>
    <row r="533" spans="1:17" x14ac:dyDescent="0.25">
      <c r="A533" t="s">
        <v>29</v>
      </c>
      <c r="B533" t="s">
        <v>41</v>
      </c>
      <c r="C533" t="s">
        <v>21</v>
      </c>
      <c r="D533">
        <v>24134</v>
      </c>
      <c r="N533" t="s">
        <v>35</v>
      </c>
      <c r="O533" t="s">
        <v>17</v>
      </c>
      <c r="P533" t="s">
        <v>25</v>
      </c>
      <c r="Q533">
        <v>17891</v>
      </c>
    </row>
    <row r="534" spans="1:17" x14ac:dyDescent="0.25">
      <c r="A534" t="s">
        <v>29</v>
      </c>
      <c r="B534" t="s">
        <v>41</v>
      </c>
      <c r="C534" t="s">
        <v>22</v>
      </c>
      <c r="D534">
        <v>23502</v>
      </c>
      <c r="N534" t="s">
        <v>35</v>
      </c>
      <c r="O534" t="s">
        <v>17</v>
      </c>
      <c r="P534" t="s">
        <v>26</v>
      </c>
      <c r="Q534">
        <v>17591</v>
      </c>
    </row>
    <row r="535" spans="1:17" x14ac:dyDescent="0.25">
      <c r="A535" t="s">
        <v>29</v>
      </c>
      <c r="B535" t="s">
        <v>41</v>
      </c>
      <c r="C535" t="s">
        <v>23</v>
      </c>
      <c r="D535">
        <v>23348</v>
      </c>
      <c r="N535" t="s">
        <v>35</v>
      </c>
      <c r="O535" t="s">
        <v>17</v>
      </c>
      <c r="P535" t="s">
        <v>27</v>
      </c>
      <c r="Q535">
        <v>15309</v>
      </c>
    </row>
    <row r="536" spans="1:17" x14ac:dyDescent="0.25">
      <c r="A536" t="s">
        <v>29</v>
      </c>
      <c r="B536" t="s">
        <v>41</v>
      </c>
      <c r="C536" t="s">
        <v>24</v>
      </c>
      <c r="D536">
        <v>20235</v>
      </c>
      <c r="N536" t="s">
        <v>35</v>
      </c>
      <c r="O536" t="s">
        <v>17</v>
      </c>
      <c r="P536" t="s">
        <v>43</v>
      </c>
      <c r="Q536">
        <v>16847</v>
      </c>
    </row>
    <row r="537" spans="1:17" x14ac:dyDescent="0.25">
      <c r="A537" t="s">
        <v>29</v>
      </c>
      <c r="B537" t="s">
        <v>41</v>
      </c>
      <c r="C537" t="s">
        <v>25</v>
      </c>
      <c r="D537">
        <v>22006</v>
      </c>
      <c r="N537" t="s">
        <v>35</v>
      </c>
      <c r="O537" t="s">
        <v>17</v>
      </c>
      <c r="P537" t="s">
        <v>44</v>
      </c>
      <c r="Q537">
        <v>18830</v>
      </c>
    </row>
    <row r="538" spans="1:17" x14ac:dyDescent="0.25">
      <c r="A538" t="s">
        <v>29</v>
      </c>
      <c r="B538" t="s">
        <v>41</v>
      </c>
      <c r="C538" t="s">
        <v>26</v>
      </c>
      <c r="D538">
        <v>21631</v>
      </c>
      <c r="N538" t="s">
        <v>35</v>
      </c>
      <c r="O538" t="s">
        <v>39</v>
      </c>
      <c r="P538" t="s">
        <v>18</v>
      </c>
      <c r="Q538">
        <v>2969</v>
      </c>
    </row>
    <row r="539" spans="1:17" x14ac:dyDescent="0.25">
      <c r="A539" t="s">
        <v>29</v>
      </c>
      <c r="B539" t="s">
        <v>41</v>
      </c>
      <c r="C539" t="s">
        <v>27</v>
      </c>
      <c r="D539">
        <v>18708</v>
      </c>
      <c r="N539" t="s">
        <v>35</v>
      </c>
      <c r="O539" t="s">
        <v>39</v>
      </c>
      <c r="P539" t="s">
        <v>19</v>
      </c>
      <c r="Q539">
        <v>3279</v>
      </c>
    </row>
    <row r="540" spans="1:17" x14ac:dyDescent="0.25">
      <c r="A540" t="s">
        <v>30</v>
      </c>
      <c r="B540" t="s">
        <v>41</v>
      </c>
      <c r="C540" t="s">
        <v>18</v>
      </c>
      <c r="D540">
        <v>164163</v>
      </c>
      <c r="N540" t="s">
        <v>35</v>
      </c>
      <c r="O540" t="s">
        <v>39</v>
      </c>
      <c r="P540" t="s">
        <v>20</v>
      </c>
      <c r="Q540">
        <v>3250</v>
      </c>
    </row>
    <row r="541" spans="1:17" x14ac:dyDescent="0.25">
      <c r="A541" t="s">
        <v>30</v>
      </c>
      <c r="B541" t="s">
        <v>41</v>
      </c>
      <c r="C541" t="s">
        <v>19</v>
      </c>
      <c r="D541">
        <v>159302</v>
      </c>
      <c r="N541" t="s">
        <v>35</v>
      </c>
      <c r="O541" t="s">
        <v>39</v>
      </c>
      <c r="P541" t="s">
        <v>21</v>
      </c>
      <c r="Q541">
        <v>3381</v>
      </c>
    </row>
    <row r="542" spans="1:17" x14ac:dyDescent="0.25">
      <c r="A542" t="s">
        <v>30</v>
      </c>
      <c r="B542" t="s">
        <v>41</v>
      </c>
      <c r="C542" t="s">
        <v>20</v>
      </c>
      <c r="D542">
        <v>159385</v>
      </c>
      <c r="N542" t="s">
        <v>35</v>
      </c>
      <c r="O542" t="s">
        <v>39</v>
      </c>
      <c r="P542" t="s">
        <v>22</v>
      </c>
      <c r="Q542">
        <v>3256</v>
      </c>
    </row>
    <row r="543" spans="1:17" x14ac:dyDescent="0.25">
      <c r="A543" t="s">
        <v>30</v>
      </c>
      <c r="B543" t="s">
        <v>41</v>
      </c>
      <c r="C543" t="s">
        <v>21</v>
      </c>
      <c r="D543">
        <v>155820</v>
      </c>
      <c r="N543" t="s">
        <v>35</v>
      </c>
      <c r="O543" t="s">
        <v>39</v>
      </c>
      <c r="P543" t="s">
        <v>23</v>
      </c>
      <c r="Q543">
        <v>3103</v>
      </c>
    </row>
    <row r="544" spans="1:17" x14ac:dyDescent="0.25">
      <c r="A544" t="s">
        <v>30</v>
      </c>
      <c r="B544" t="s">
        <v>41</v>
      </c>
      <c r="C544" t="s">
        <v>22</v>
      </c>
      <c r="D544">
        <v>148436</v>
      </c>
      <c r="N544" t="s">
        <v>35</v>
      </c>
      <c r="O544" t="s">
        <v>39</v>
      </c>
      <c r="P544" t="s">
        <v>24</v>
      </c>
      <c r="Q544">
        <v>3083</v>
      </c>
    </row>
    <row r="545" spans="1:17" x14ac:dyDescent="0.25">
      <c r="A545" t="s">
        <v>30</v>
      </c>
      <c r="B545" t="s">
        <v>41</v>
      </c>
      <c r="C545" t="s">
        <v>23</v>
      </c>
      <c r="D545">
        <v>142974</v>
      </c>
      <c r="N545" t="s">
        <v>35</v>
      </c>
      <c r="O545" t="s">
        <v>39</v>
      </c>
      <c r="P545" t="s">
        <v>25</v>
      </c>
      <c r="Q545">
        <v>3405</v>
      </c>
    </row>
    <row r="546" spans="1:17" x14ac:dyDescent="0.25">
      <c r="A546" t="s">
        <v>30</v>
      </c>
      <c r="B546" t="s">
        <v>41</v>
      </c>
      <c r="C546" t="s">
        <v>24</v>
      </c>
      <c r="D546">
        <v>135087</v>
      </c>
      <c r="N546" t="s">
        <v>35</v>
      </c>
      <c r="O546" t="s">
        <v>39</v>
      </c>
      <c r="P546" t="s">
        <v>26</v>
      </c>
      <c r="Q546">
        <v>3241</v>
      </c>
    </row>
    <row r="547" spans="1:17" x14ac:dyDescent="0.25">
      <c r="A547" t="s">
        <v>30</v>
      </c>
      <c r="B547" t="s">
        <v>41</v>
      </c>
      <c r="C547" t="s">
        <v>25</v>
      </c>
      <c r="D547">
        <v>134273</v>
      </c>
      <c r="N547" t="s">
        <v>35</v>
      </c>
      <c r="O547" t="s">
        <v>39</v>
      </c>
      <c r="P547" t="s">
        <v>27</v>
      </c>
      <c r="Q547">
        <v>3155</v>
      </c>
    </row>
    <row r="548" spans="1:17" x14ac:dyDescent="0.25">
      <c r="A548" t="s">
        <v>30</v>
      </c>
      <c r="B548" t="s">
        <v>41</v>
      </c>
      <c r="C548" t="s">
        <v>26</v>
      </c>
      <c r="D548">
        <v>129696</v>
      </c>
      <c r="N548" t="s">
        <v>35</v>
      </c>
      <c r="O548" t="s">
        <v>39</v>
      </c>
      <c r="P548" t="s">
        <v>43</v>
      </c>
      <c r="Q548">
        <v>3793</v>
      </c>
    </row>
    <row r="549" spans="1:17" x14ac:dyDescent="0.25">
      <c r="A549" t="s">
        <v>30</v>
      </c>
      <c r="B549" t="s">
        <v>41</v>
      </c>
      <c r="C549" t="s">
        <v>27</v>
      </c>
      <c r="D549">
        <v>106889</v>
      </c>
      <c r="N549" t="s">
        <v>35</v>
      </c>
      <c r="O549" t="s">
        <v>39</v>
      </c>
      <c r="P549" t="s">
        <v>44</v>
      </c>
      <c r="Q549">
        <v>4272</v>
      </c>
    </row>
    <row r="550" spans="1:17" x14ac:dyDescent="0.25">
      <c r="A550" t="s">
        <v>31</v>
      </c>
      <c r="B550" t="s">
        <v>41</v>
      </c>
      <c r="C550" t="s">
        <v>18</v>
      </c>
      <c r="D550">
        <v>78241</v>
      </c>
      <c r="N550" t="s">
        <v>35</v>
      </c>
      <c r="O550" t="s">
        <v>42</v>
      </c>
      <c r="P550" t="s">
        <v>18</v>
      </c>
      <c r="Q550">
        <v>3597</v>
      </c>
    </row>
    <row r="551" spans="1:17" x14ac:dyDescent="0.25">
      <c r="A551" t="s">
        <v>31</v>
      </c>
      <c r="B551" t="s">
        <v>41</v>
      </c>
      <c r="C551" t="s">
        <v>19</v>
      </c>
      <c r="D551">
        <v>77601</v>
      </c>
      <c r="N551" t="s">
        <v>35</v>
      </c>
      <c r="O551" t="s">
        <v>42</v>
      </c>
      <c r="P551" t="s">
        <v>19</v>
      </c>
      <c r="Q551">
        <v>3749</v>
      </c>
    </row>
    <row r="552" spans="1:17" x14ac:dyDescent="0.25">
      <c r="A552" t="s">
        <v>31</v>
      </c>
      <c r="B552" t="s">
        <v>41</v>
      </c>
      <c r="C552" t="s">
        <v>20</v>
      </c>
      <c r="D552">
        <v>75655</v>
      </c>
      <c r="N552" t="s">
        <v>35</v>
      </c>
      <c r="O552" t="s">
        <v>42</v>
      </c>
      <c r="P552" t="s">
        <v>20</v>
      </c>
      <c r="Q552">
        <v>4093</v>
      </c>
    </row>
    <row r="553" spans="1:17" x14ac:dyDescent="0.25">
      <c r="A553" t="s">
        <v>31</v>
      </c>
      <c r="B553" t="s">
        <v>41</v>
      </c>
      <c r="C553" t="s">
        <v>21</v>
      </c>
      <c r="D553">
        <v>72967</v>
      </c>
      <c r="N553" t="s">
        <v>35</v>
      </c>
      <c r="O553" t="s">
        <v>42</v>
      </c>
      <c r="P553" t="s">
        <v>21</v>
      </c>
      <c r="Q553">
        <v>4436</v>
      </c>
    </row>
    <row r="554" spans="1:17" x14ac:dyDescent="0.25">
      <c r="A554" t="s">
        <v>31</v>
      </c>
      <c r="B554" t="s">
        <v>41</v>
      </c>
      <c r="C554" t="s">
        <v>22</v>
      </c>
      <c r="D554">
        <v>68616</v>
      </c>
      <c r="N554" t="s">
        <v>35</v>
      </c>
      <c r="O554" t="s">
        <v>42</v>
      </c>
      <c r="P554" t="s">
        <v>22</v>
      </c>
      <c r="Q554">
        <v>5183</v>
      </c>
    </row>
    <row r="555" spans="1:17" x14ac:dyDescent="0.25">
      <c r="A555" t="s">
        <v>31</v>
      </c>
      <c r="B555" t="s">
        <v>41</v>
      </c>
      <c r="C555" t="s">
        <v>23</v>
      </c>
      <c r="D555">
        <v>67284</v>
      </c>
      <c r="N555" t="s">
        <v>35</v>
      </c>
      <c r="O555" t="s">
        <v>42</v>
      </c>
      <c r="P555" t="s">
        <v>23</v>
      </c>
      <c r="Q555">
        <v>6084</v>
      </c>
    </row>
    <row r="556" spans="1:17" x14ac:dyDescent="0.25">
      <c r="A556" t="s">
        <v>31</v>
      </c>
      <c r="B556" t="s">
        <v>41</v>
      </c>
      <c r="C556" t="s">
        <v>24</v>
      </c>
      <c r="D556">
        <v>63543</v>
      </c>
      <c r="N556" t="s">
        <v>35</v>
      </c>
      <c r="O556" t="s">
        <v>42</v>
      </c>
      <c r="P556" t="s">
        <v>24</v>
      </c>
      <c r="Q556">
        <v>6495</v>
      </c>
    </row>
    <row r="557" spans="1:17" x14ac:dyDescent="0.25">
      <c r="A557" t="s">
        <v>31</v>
      </c>
      <c r="B557" t="s">
        <v>41</v>
      </c>
      <c r="C557" t="s">
        <v>25</v>
      </c>
      <c r="D557">
        <v>65970</v>
      </c>
      <c r="N557" t="s">
        <v>35</v>
      </c>
      <c r="O557" t="s">
        <v>42</v>
      </c>
      <c r="P557" t="s">
        <v>25</v>
      </c>
      <c r="Q557">
        <v>4573</v>
      </c>
    </row>
    <row r="558" spans="1:17" x14ac:dyDescent="0.25">
      <c r="A558" t="s">
        <v>31</v>
      </c>
      <c r="B558" t="s">
        <v>41</v>
      </c>
      <c r="C558" t="s">
        <v>26</v>
      </c>
      <c r="D558">
        <v>64128</v>
      </c>
      <c r="N558" t="s">
        <v>35</v>
      </c>
      <c r="O558" t="s">
        <v>42</v>
      </c>
      <c r="P558" t="s">
        <v>26</v>
      </c>
      <c r="Q558">
        <v>3316</v>
      </c>
    </row>
    <row r="559" spans="1:17" x14ac:dyDescent="0.25">
      <c r="A559" t="s">
        <v>31</v>
      </c>
      <c r="B559" t="s">
        <v>41</v>
      </c>
      <c r="C559" t="s">
        <v>27</v>
      </c>
      <c r="D559">
        <v>53945</v>
      </c>
      <c r="N559" t="s">
        <v>35</v>
      </c>
      <c r="O559" t="s">
        <v>42</v>
      </c>
      <c r="P559" t="s">
        <v>27</v>
      </c>
      <c r="Q559">
        <v>2594</v>
      </c>
    </row>
    <row r="560" spans="1:17" x14ac:dyDescent="0.25">
      <c r="A560" t="s">
        <v>32</v>
      </c>
      <c r="B560" t="s">
        <v>41</v>
      </c>
      <c r="C560" t="s">
        <v>18</v>
      </c>
      <c r="D560">
        <v>26786</v>
      </c>
      <c r="N560" t="s">
        <v>35</v>
      </c>
      <c r="O560" t="s">
        <v>42</v>
      </c>
      <c r="P560" t="s">
        <v>43</v>
      </c>
      <c r="Q560">
        <v>2487</v>
      </c>
    </row>
    <row r="561" spans="1:17" x14ac:dyDescent="0.25">
      <c r="A561" t="s">
        <v>32</v>
      </c>
      <c r="B561" t="s">
        <v>41</v>
      </c>
      <c r="C561" t="s">
        <v>19</v>
      </c>
      <c r="D561">
        <v>25690</v>
      </c>
      <c r="N561" t="s">
        <v>35</v>
      </c>
      <c r="O561" t="s">
        <v>42</v>
      </c>
      <c r="P561" t="s">
        <v>44</v>
      </c>
      <c r="Q561">
        <v>2901</v>
      </c>
    </row>
    <row r="562" spans="1:17" x14ac:dyDescent="0.25">
      <c r="A562" t="s">
        <v>32</v>
      </c>
      <c r="B562" t="s">
        <v>41</v>
      </c>
      <c r="C562" t="s">
        <v>20</v>
      </c>
      <c r="D562">
        <v>26189</v>
      </c>
      <c r="N562" t="s">
        <v>35</v>
      </c>
      <c r="O562" t="s">
        <v>41</v>
      </c>
      <c r="P562" t="s">
        <v>18</v>
      </c>
      <c r="Q562">
        <v>9260</v>
      </c>
    </row>
    <row r="563" spans="1:17" x14ac:dyDescent="0.25">
      <c r="A563" t="s">
        <v>32</v>
      </c>
      <c r="B563" t="s">
        <v>41</v>
      </c>
      <c r="C563" t="s">
        <v>21</v>
      </c>
      <c r="D563">
        <v>26459</v>
      </c>
      <c r="N563" t="s">
        <v>35</v>
      </c>
      <c r="O563" t="s">
        <v>41</v>
      </c>
      <c r="P563" t="s">
        <v>19</v>
      </c>
      <c r="Q563">
        <v>9135</v>
      </c>
    </row>
    <row r="564" spans="1:17" x14ac:dyDescent="0.25">
      <c r="A564" t="s">
        <v>32</v>
      </c>
      <c r="B564" t="s">
        <v>41</v>
      </c>
      <c r="C564" t="s">
        <v>22</v>
      </c>
      <c r="D564">
        <v>27447</v>
      </c>
      <c r="N564" t="s">
        <v>35</v>
      </c>
      <c r="O564" t="s">
        <v>41</v>
      </c>
      <c r="P564" t="s">
        <v>20</v>
      </c>
      <c r="Q564">
        <v>9353</v>
      </c>
    </row>
    <row r="565" spans="1:17" x14ac:dyDescent="0.25">
      <c r="A565" t="s">
        <v>32</v>
      </c>
      <c r="B565" t="s">
        <v>41</v>
      </c>
      <c r="C565" t="s">
        <v>23</v>
      </c>
      <c r="D565">
        <v>28524</v>
      </c>
      <c r="N565" t="s">
        <v>35</v>
      </c>
      <c r="O565" t="s">
        <v>41</v>
      </c>
      <c r="P565" t="s">
        <v>21</v>
      </c>
      <c r="Q565">
        <v>9794</v>
      </c>
    </row>
    <row r="566" spans="1:17" x14ac:dyDescent="0.25">
      <c r="A566" t="s">
        <v>32</v>
      </c>
      <c r="B566" t="s">
        <v>41</v>
      </c>
      <c r="C566" t="s">
        <v>24</v>
      </c>
      <c r="D566">
        <v>24381</v>
      </c>
      <c r="N566" t="s">
        <v>35</v>
      </c>
      <c r="O566" t="s">
        <v>41</v>
      </c>
      <c r="P566" t="s">
        <v>22</v>
      </c>
      <c r="Q566">
        <v>9629</v>
      </c>
    </row>
    <row r="567" spans="1:17" x14ac:dyDescent="0.25">
      <c r="A567" t="s">
        <v>32</v>
      </c>
      <c r="B567" t="s">
        <v>41</v>
      </c>
      <c r="C567" t="s">
        <v>25</v>
      </c>
      <c r="D567">
        <v>25081</v>
      </c>
      <c r="N567" t="s">
        <v>35</v>
      </c>
      <c r="O567" t="s">
        <v>41</v>
      </c>
      <c r="P567" t="s">
        <v>23</v>
      </c>
      <c r="Q567">
        <v>9619</v>
      </c>
    </row>
    <row r="568" spans="1:17" x14ac:dyDescent="0.25">
      <c r="A568" t="s">
        <v>32</v>
      </c>
      <c r="B568" t="s">
        <v>41</v>
      </c>
      <c r="C568" t="s">
        <v>26</v>
      </c>
      <c r="D568">
        <v>23780</v>
      </c>
      <c r="N568" t="s">
        <v>35</v>
      </c>
      <c r="O568" t="s">
        <v>41</v>
      </c>
      <c r="P568" t="s">
        <v>24</v>
      </c>
      <c r="Q568">
        <v>9277</v>
      </c>
    </row>
    <row r="569" spans="1:17" x14ac:dyDescent="0.25">
      <c r="A569" t="s">
        <v>32</v>
      </c>
      <c r="B569" t="s">
        <v>41</v>
      </c>
      <c r="C569" t="s">
        <v>27</v>
      </c>
      <c r="D569">
        <v>20132</v>
      </c>
      <c r="N569" t="s">
        <v>35</v>
      </c>
      <c r="O569" t="s">
        <v>41</v>
      </c>
      <c r="P569" t="s">
        <v>25</v>
      </c>
      <c r="Q569">
        <v>9924</v>
      </c>
    </row>
    <row r="570" spans="1:17" x14ac:dyDescent="0.25">
      <c r="A570" t="s">
        <v>33</v>
      </c>
      <c r="B570" t="s">
        <v>41</v>
      </c>
      <c r="C570" t="s">
        <v>18</v>
      </c>
      <c r="D570">
        <v>30893</v>
      </c>
      <c r="N570" t="s">
        <v>35</v>
      </c>
      <c r="O570" t="s">
        <v>41</v>
      </c>
      <c r="P570" t="s">
        <v>26</v>
      </c>
      <c r="Q570">
        <v>10538</v>
      </c>
    </row>
    <row r="571" spans="1:17" x14ac:dyDescent="0.25">
      <c r="A571" t="s">
        <v>33</v>
      </c>
      <c r="B571" t="s">
        <v>41</v>
      </c>
      <c r="C571" t="s">
        <v>19</v>
      </c>
      <c r="D571">
        <v>31130</v>
      </c>
      <c r="N571" t="s">
        <v>35</v>
      </c>
      <c r="O571" t="s">
        <v>41</v>
      </c>
      <c r="P571" t="s">
        <v>27</v>
      </c>
      <c r="Q571">
        <v>8777</v>
      </c>
    </row>
    <row r="572" spans="1:17" x14ac:dyDescent="0.25">
      <c r="A572" t="s">
        <v>33</v>
      </c>
      <c r="B572" t="s">
        <v>41</v>
      </c>
      <c r="C572" t="s">
        <v>20</v>
      </c>
      <c r="D572">
        <v>27795</v>
      </c>
      <c r="N572" t="s">
        <v>35</v>
      </c>
      <c r="O572" t="s">
        <v>41</v>
      </c>
      <c r="P572" t="s">
        <v>43</v>
      </c>
      <c r="Q572">
        <v>9942</v>
      </c>
    </row>
    <row r="573" spans="1:17" x14ac:dyDescent="0.25">
      <c r="A573" t="s">
        <v>33</v>
      </c>
      <c r="B573" t="s">
        <v>41</v>
      </c>
      <c r="C573" t="s">
        <v>21</v>
      </c>
      <c r="D573">
        <v>26882</v>
      </c>
      <c r="N573" t="s">
        <v>35</v>
      </c>
      <c r="O573" t="s">
        <v>41</v>
      </c>
      <c r="P573" t="s">
        <v>44</v>
      </c>
      <c r="Q573">
        <v>11876</v>
      </c>
    </row>
    <row r="574" spans="1:17" x14ac:dyDescent="0.25">
      <c r="A574" t="s">
        <v>33</v>
      </c>
      <c r="B574" t="s">
        <v>41</v>
      </c>
      <c r="C574" t="s">
        <v>22</v>
      </c>
      <c r="D574">
        <v>26546</v>
      </c>
      <c r="N574" t="s">
        <v>35</v>
      </c>
      <c r="O574" t="s">
        <v>40</v>
      </c>
      <c r="P574" t="s">
        <v>18</v>
      </c>
      <c r="Q574">
        <v>11081</v>
      </c>
    </row>
    <row r="575" spans="1:17" x14ac:dyDescent="0.25">
      <c r="A575" t="s">
        <v>33</v>
      </c>
      <c r="B575" t="s">
        <v>41</v>
      </c>
      <c r="C575" t="s">
        <v>23</v>
      </c>
      <c r="D575">
        <v>27060</v>
      </c>
      <c r="N575" t="s">
        <v>35</v>
      </c>
      <c r="O575" t="s">
        <v>40</v>
      </c>
      <c r="P575" t="s">
        <v>19</v>
      </c>
      <c r="Q575">
        <v>12533</v>
      </c>
    </row>
    <row r="576" spans="1:17" x14ac:dyDescent="0.25">
      <c r="A576" t="s">
        <v>33</v>
      </c>
      <c r="B576" t="s">
        <v>41</v>
      </c>
      <c r="C576" t="s">
        <v>24</v>
      </c>
      <c r="D576">
        <v>25492</v>
      </c>
      <c r="N576" t="s">
        <v>35</v>
      </c>
      <c r="O576" t="s">
        <v>40</v>
      </c>
      <c r="P576" t="s">
        <v>20</v>
      </c>
      <c r="Q576">
        <v>12886</v>
      </c>
    </row>
    <row r="577" spans="1:17" x14ac:dyDescent="0.25">
      <c r="A577" t="s">
        <v>33</v>
      </c>
      <c r="B577" t="s">
        <v>41</v>
      </c>
      <c r="C577" t="s">
        <v>25</v>
      </c>
      <c r="D577">
        <v>25235</v>
      </c>
      <c r="N577" t="s">
        <v>35</v>
      </c>
      <c r="O577" t="s">
        <v>40</v>
      </c>
      <c r="P577" t="s">
        <v>21</v>
      </c>
      <c r="Q577">
        <v>13030</v>
      </c>
    </row>
    <row r="578" spans="1:17" x14ac:dyDescent="0.25">
      <c r="A578" t="s">
        <v>33</v>
      </c>
      <c r="B578" t="s">
        <v>41</v>
      </c>
      <c r="C578" t="s">
        <v>26</v>
      </c>
      <c r="D578">
        <v>24367</v>
      </c>
      <c r="N578" t="s">
        <v>35</v>
      </c>
      <c r="O578" t="s">
        <v>40</v>
      </c>
      <c r="P578" t="s">
        <v>22</v>
      </c>
      <c r="Q578">
        <v>13212</v>
      </c>
    </row>
    <row r="579" spans="1:17" x14ac:dyDescent="0.25">
      <c r="A579" t="s">
        <v>33</v>
      </c>
      <c r="B579" t="s">
        <v>41</v>
      </c>
      <c r="C579" t="s">
        <v>27</v>
      </c>
      <c r="D579">
        <v>21271</v>
      </c>
      <c r="N579" t="s">
        <v>35</v>
      </c>
      <c r="O579" t="s">
        <v>40</v>
      </c>
      <c r="P579" t="s">
        <v>23</v>
      </c>
      <c r="Q579">
        <v>13407</v>
      </c>
    </row>
    <row r="580" spans="1:17" x14ac:dyDescent="0.25">
      <c r="A580" t="s">
        <v>34</v>
      </c>
      <c r="B580" t="s">
        <v>41</v>
      </c>
      <c r="C580" t="s">
        <v>18</v>
      </c>
      <c r="D580">
        <v>25208</v>
      </c>
      <c r="N580" t="s">
        <v>35</v>
      </c>
      <c r="O580" t="s">
        <v>40</v>
      </c>
      <c r="P580" t="s">
        <v>24</v>
      </c>
      <c r="Q580">
        <v>12800</v>
      </c>
    </row>
    <row r="581" spans="1:17" x14ac:dyDescent="0.25">
      <c r="A581" t="s">
        <v>34</v>
      </c>
      <c r="B581" t="s">
        <v>41</v>
      </c>
      <c r="C581" t="s">
        <v>19</v>
      </c>
      <c r="D581">
        <v>26448</v>
      </c>
      <c r="N581" t="s">
        <v>35</v>
      </c>
      <c r="O581" t="s">
        <v>40</v>
      </c>
      <c r="P581" t="s">
        <v>25</v>
      </c>
      <c r="Q581">
        <v>13420</v>
      </c>
    </row>
    <row r="582" spans="1:17" x14ac:dyDescent="0.25">
      <c r="A582" t="s">
        <v>34</v>
      </c>
      <c r="B582" t="s">
        <v>41</v>
      </c>
      <c r="C582" t="s">
        <v>20</v>
      </c>
      <c r="D582">
        <v>26064</v>
      </c>
      <c r="N582" t="s">
        <v>35</v>
      </c>
      <c r="O582" t="s">
        <v>40</v>
      </c>
      <c r="P582" t="s">
        <v>26</v>
      </c>
      <c r="Q582">
        <v>12735</v>
      </c>
    </row>
    <row r="583" spans="1:17" x14ac:dyDescent="0.25">
      <c r="A583" t="s">
        <v>34</v>
      </c>
      <c r="B583" t="s">
        <v>41</v>
      </c>
      <c r="C583" t="s">
        <v>21</v>
      </c>
      <c r="D583">
        <v>24229</v>
      </c>
      <c r="N583" t="s">
        <v>35</v>
      </c>
      <c r="O583" t="s">
        <v>40</v>
      </c>
      <c r="P583" t="s">
        <v>27</v>
      </c>
      <c r="Q583">
        <v>11428</v>
      </c>
    </row>
    <row r="584" spans="1:17" x14ac:dyDescent="0.25">
      <c r="A584" t="s">
        <v>34</v>
      </c>
      <c r="B584" t="s">
        <v>41</v>
      </c>
      <c r="C584" t="s">
        <v>22</v>
      </c>
      <c r="D584">
        <v>23151</v>
      </c>
      <c r="N584" t="s">
        <v>35</v>
      </c>
      <c r="O584" t="s">
        <v>40</v>
      </c>
      <c r="P584" t="s">
        <v>43</v>
      </c>
      <c r="Q584">
        <v>10782</v>
      </c>
    </row>
    <row r="585" spans="1:17" x14ac:dyDescent="0.25">
      <c r="A585" t="s">
        <v>34</v>
      </c>
      <c r="B585" t="s">
        <v>41</v>
      </c>
      <c r="C585" t="s">
        <v>23</v>
      </c>
      <c r="D585">
        <v>21767</v>
      </c>
      <c r="N585" t="s">
        <v>35</v>
      </c>
      <c r="O585" t="s">
        <v>40</v>
      </c>
      <c r="P585" t="s">
        <v>44</v>
      </c>
      <c r="Q585">
        <v>12510</v>
      </c>
    </row>
    <row r="586" spans="1:17" x14ac:dyDescent="0.25">
      <c r="A586" t="s">
        <v>34</v>
      </c>
      <c r="B586" t="s">
        <v>41</v>
      </c>
      <c r="C586" t="s">
        <v>24</v>
      </c>
      <c r="D586">
        <v>20020</v>
      </c>
      <c r="N586" t="s">
        <v>35</v>
      </c>
      <c r="O586" t="s">
        <v>37</v>
      </c>
      <c r="P586" t="s">
        <v>18</v>
      </c>
      <c r="Q586">
        <v>1722</v>
      </c>
    </row>
    <row r="587" spans="1:17" x14ac:dyDescent="0.25">
      <c r="A587" t="s">
        <v>34</v>
      </c>
      <c r="B587" t="s">
        <v>41</v>
      </c>
      <c r="C587" t="s">
        <v>25</v>
      </c>
      <c r="D587">
        <v>21840</v>
      </c>
      <c r="N587" t="s">
        <v>35</v>
      </c>
      <c r="O587" t="s">
        <v>37</v>
      </c>
      <c r="P587" t="s">
        <v>19</v>
      </c>
      <c r="Q587">
        <v>1826</v>
      </c>
    </row>
    <row r="588" spans="1:17" x14ac:dyDescent="0.25">
      <c r="A588" t="s">
        <v>34</v>
      </c>
      <c r="B588" t="s">
        <v>41</v>
      </c>
      <c r="C588" t="s">
        <v>26</v>
      </c>
      <c r="D588">
        <v>20358</v>
      </c>
      <c r="N588" t="s">
        <v>35</v>
      </c>
      <c r="O588" t="s">
        <v>37</v>
      </c>
      <c r="P588" t="s">
        <v>20</v>
      </c>
      <c r="Q588">
        <v>1731</v>
      </c>
    </row>
    <row r="589" spans="1:17" x14ac:dyDescent="0.25">
      <c r="A589" t="s">
        <v>34</v>
      </c>
      <c r="B589" t="s">
        <v>41</v>
      </c>
      <c r="C589" t="s">
        <v>27</v>
      </c>
      <c r="D589">
        <v>18245</v>
      </c>
      <c r="N589" t="s">
        <v>35</v>
      </c>
      <c r="O589" t="s">
        <v>37</v>
      </c>
      <c r="P589" t="s">
        <v>21</v>
      </c>
      <c r="Q589">
        <v>1578</v>
      </c>
    </row>
    <row r="590" spans="1:17" x14ac:dyDescent="0.25">
      <c r="A590" t="s">
        <v>35</v>
      </c>
      <c r="B590" t="s">
        <v>41</v>
      </c>
      <c r="C590" t="s">
        <v>18</v>
      </c>
      <c r="D590">
        <v>9260</v>
      </c>
      <c r="N590" t="s">
        <v>35</v>
      </c>
      <c r="O590" t="s">
        <v>37</v>
      </c>
      <c r="P590" t="s">
        <v>22</v>
      </c>
      <c r="Q590">
        <v>1719</v>
      </c>
    </row>
    <row r="591" spans="1:17" x14ac:dyDescent="0.25">
      <c r="A591" t="s">
        <v>35</v>
      </c>
      <c r="B591" t="s">
        <v>41</v>
      </c>
      <c r="C591" t="s">
        <v>19</v>
      </c>
      <c r="D591">
        <v>9135</v>
      </c>
      <c r="N591" t="s">
        <v>35</v>
      </c>
      <c r="O591" t="s">
        <v>37</v>
      </c>
      <c r="P591" t="s">
        <v>23</v>
      </c>
      <c r="Q591">
        <v>1587</v>
      </c>
    </row>
    <row r="592" spans="1:17" x14ac:dyDescent="0.25">
      <c r="A592" t="s">
        <v>35</v>
      </c>
      <c r="B592" t="s">
        <v>41</v>
      </c>
      <c r="C592" t="s">
        <v>20</v>
      </c>
      <c r="D592">
        <v>9353</v>
      </c>
      <c r="N592" t="s">
        <v>35</v>
      </c>
      <c r="O592" t="s">
        <v>37</v>
      </c>
      <c r="P592" t="s">
        <v>24</v>
      </c>
      <c r="Q592">
        <v>1538</v>
      </c>
    </row>
    <row r="593" spans="1:17" x14ac:dyDescent="0.25">
      <c r="A593" t="s">
        <v>35</v>
      </c>
      <c r="B593" t="s">
        <v>41</v>
      </c>
      <c r="C593" t="s">
        <v>21</v>
      </c>
      <c r="D593">
        <v>9794</v>
      </c>
      <c r="N593" t="s">
        <v>35</v>
      </c>
      <c r="O593" t="s">
        <v>37</v>
      </c>
      <c r="P593" t="s">
        <v>25</v>
      </c>
      <c r="Q593">
        <v>1578</v>
      </c>
    </row>
    <row r="594" spans="1:17" x14ac:dyDescent="0.25">
      <c r="A594" t="s">
        <v>35</v>
      </c>
      <c r="B594" t="s">
        <v>41</v>
      </c>
      <c r="C594" t="s">
        <v>22</v>
      </c>
      <c r="D594">
        <v>9629</v>
      </c>
      <c r="N594" t="s">
        <v>35</v>
      </c>
      <c r="O594" t="s">
        <v>37</v>
      </c>
      <c r="P594" t="s">
        <v>26</v>
      </c>
      <c r="Q594">
        <v>1590</v>
      </c>
    </row>
    <row r="595" spans="1:17" x14ac:dyDescent="0.25">
      <c r="A595" t="s">
        <v>35</v>
      </c>
      <c r="B595" t="s">
        <v>41</v>
      </c>
      <c r="C595" t="s">
        <v>23</v>
      </c>
      <c r="D595">
        <v>9619</v>
      </c>
      <c r="N595" t="s">
        <v>35</v>
      </c>
      <c r="O595" t="s">
        <v>37</v>
      </c>
      <c r="P595" t="s">
        <v>27</v>
      </c>
      <c r="Q595">
        <v>1295</v>
      </c>
    </row>
    <row r="596" spans="1:17" x14ac:dyDescent="0.25">
      <c r="A596" t="s">
        <v>35</v>
      </c>
      <c r="B596" t="s">
        <v>41</v>
      </c>
      <c r="C596" t="s">
        <v>24</v>
      </c>
      <c r="D596">
        <v>9277</v>
      </c>
      <c r="N596" t="s">
        <v>35</v>
      </c>
      <c r="O596" t="s">
        <v>37</v>
      </c>
      <c r="P596" t="s">
        <v>43</v>
      </c>
      <c r="Q596">
        <v>1317</v>
      </c>
    </row>
    <row r="597" spans="1:17" x14ac:dyDescent="0.25">
      <c r="A597" t="s">
        <v>35</v>
      </c>
      <c r="B597" t="s">
        <v>41</v>
      </c>
      <c r="C597" t="s">
        <v>25</v>
      </c>
      <c r="D597">
        <v>9924</v>
      </c>
      <c r="N597" t="s">
        <v>35</v>
      </c>
      <c r="O597" t="s">
        <v>37</v>
      </c>
      <c r="P597" t="s">
        <v>44</v>
      </c>
      <c r="Q597">
        <v>1531</v>
      </c>
    </row>
    <row r="598" spans="1:17" x14ac:dyDescent="0.25">
      <c r="A598" t="s">
        <v>35</v>
      </c>
      <c r="B598" t="s">
        <v>41</v>
      </c>
      <c r="C598" t="s">
        <v>26</v>
      </c>
      <c r="D598">
        <v>10538</v>
      </c>
      <c r="N598" t="s">
        <v>34</v>
      </c>
      <c r="O598" t="s">
        <v>38</v>
      </c>
      <c r="P598" t="s">
        <v>18</v>
      </c>
      <c r="Q598">
        <v>5366</v>
      </c>
    </row>
    <row r="599" spans="1:17" x14ac:dyDescent="0.25">
      <c r="A599" t="s">
        <v>35</v>
      </c>
      <c r="B599" t="s">
        <v>41</v>
      </c>
      <c r="C599" t="s">
        <v>27</v>
      </c>
      <c r="D599">
        <v>8777</v>
      </c>
      <c r="N599" t="s">
        <v>34</v>
      </c>
      <c r="O599" t="s">
        <v>38</v>
      </c>
      <c r="P599" t="s">
        <v>19</v>
      </c>
      <c r="Q599">
        <v>5271</v>
      </c>
    </row>
    <row r="600" spans="1:17" x14ac:dyDescent="0.25">
      <c r="A600" t="s">
        <v>36</v>
      </c>
      <c r="B600" t="s">
        <v>41</v>
      </c>
      <c r="C600" t="s">
        <v>18</v>
      </c>
      <c r="D600">
        <v>120526</v>
      </c>
      <c r="N600" t="s">
        <v>34</v>
      </c>
      <c r="O600" t="s">
        <v>38</v>
      </c>
      <c r="P600" t="s">
        <v>20</v>
      </c>
      <c r="Q600">
        <v>5409</v>
      </c>
    </row>
    <row r="601" spans="1:17" x14ac:dyDescent="0.25">
      <c r="A601" t="s">
        <v>36</v>
      </c>
      <c r="B601" t="s">
        <v>41</v>
      </c>
      <c r="C601" t="s">
        <v>19</v>
      </c>
      <c r="D601">
        <v>118224</v>
      </c>
      <c r="N601" t="s">
        <v>34</v>
      </c>
      <c r="O601" t="s">
        <v>38</v>
      </c>
      <c r="P601" t="s">
        <v>21</v>
      </c>
      <c r="Q601">
        <v>5977</v>
      </c>
    </row>
    <row r="602" spans="1:17" x14ac:dyDescent="0.25">
      <c r="A602" t="s">
        <v>36</v>
      </c>
      <c r="B602" t="s">
        <v>41</v>
      </c>
      <c r="C602" t="s">
        <v>20</v>
      </c>
      <c r="D602">
        <v>119540</v>
      </c>
      <c r="N602" t="s">
        <v>34</v>
      </c>
      <c r="O602" t="s">
        <v>38</v>
      </c>
      <c r="P602" t="s">
        <v>22</v>
      </c>
      <c r="Q602">
        <v>6281</v>
      </c>
    </row>
    <row r="603" spans="1:17" x14ac:dyDescent="0.25">
      <c r="A603" t="s">
        <v>36</v>
      </c>
      <c r="B603" t="s">
        <v>41</v>
      </c>
      <c r="C603" t="s">
        <v>21</v>
      </c>
      <c r="D603">
        <v>122225</v>
      </c>
      <c r="N603" t="s">
        <v>34</v>
      </c>
      <c r="O603" t="s">
        <v>38</v>
      </c>
      <c r="P603" t="s">
        <v>23</v>
      </c>
      <c r="Q603">
        <v>7017</v>
      </c>
    </row>
    <row r="604" spans="1:17" x14ac:dyDescent="0.25">
      <c r="A604" t="s">
        <v>36</v>
      </c>
      <c r="B604" t="s">
        <v>41</v>
      </c>
      <c r="C604" t="s">
        <v>22</v>
      </c>
      <c r="D604">
        <v>116510</v>
      </c>
      <c r="N604" t="s">
        <v>34</v>
      </c>
      <c r="O604" t="s">
        <v>38</v>
      </c>
      <c r="P604" t="s">
        <v>24</v>
      </c>
      <c r="Q604">
        <v>6825</v>
      </c>
    </row>
    <row r="605" spans="1:17" x14ac:dyDescent="0.25">
      <c r="A605" t="s">
        <v>36</v>
      </c>
      <c r="B605" t="s">
        <v>41</v>
      </c>
      <c r="C605" t="s">
        <v>23</v>
      </c>
      <c r="D605">
        <v>112239</v>
      </c>
      <c r="N605" t="s">
        <v>34</v>
      </c>
      <c r="O605" t="s">
        <v>38</v>
      </c>
      <c r="P605" t="s">
        <v>25</v>
      </c>
      <c r="Q605">
        <v>7023</v>
      </c>
    </row>
    <row r="606" spans="1:17" x14ac:dyDescent="0.25">
      <c r="A606" t="s">
        <v>36</v>
      </c>
      <c r="B606" t="s">
        <v>41</v>
      </c>
      <c r="C606" t="s">
        <v>24</v>
      </c>
      <c r="D606">
        <v>105822</v>
      </c>
      <c r="N606" t="s">
        <v>34</v>
      </c>
      <c r="O606" t="s">
        <v>38</v>
      </c>
      <c r="P606" t="s">
        <v>26</v>
      </c>
      <c r="Q606">
        <v>6807</v>
      </c>
    </row>
    <row r="607" spans="1:17" x14ac:dyDescent="0.25">
      <c r="A607" t="s">
        <v>36</v>
      </c>
      <c r="B607" t="s">
        <v>41</v>
      </c>
      <c r="C607" t="s">
        <v>25</v>
      </c>
      <c r="D607">
        <v>103847</v>
      </c>
      <c r="N607" t="s">
        <v>34</v>
      </c>
      <c r="O607" t="s">
        <v>38</v>
      </c>
      <c r="P607" t="s">
        <v>27</v>
      </c>
      <c r="Q607">
        <v>5733</v>
      </c>
    </row>
    <row r="608" spans="1:17" x14ac:dyDescent="0.25">
      <c r="A608" t="s">
        <v>36</v>
      </c>
      <c r="B608" t="s">
        <v>41</v>
      </c>
      <c r="C608" t="s">
        <v>26</v>
      </c>
      <c r="D608">
        <v>94591</v>
      </c>
      <c r="N608" t="s">
        <v>34</v>
      </c>
      <c r="O608" t="s">
        <v>38</v>
      </c>
      <c r="P608" t="s">
        <v>43</v>
      </c>
      <c r="Q608">
        <v>3071</v>
      </c>
    </row>
    <row r="609" spans="1:17" x14ac:dyDescent="0.25">
      <c r="A609" t="s">
        <v>36</v>
      </c>
      <c r="B609" t="s">
        <v>41</v>
      </c>
      <c r="C609" t="s">
        <v>27</v>
      </c>
      <c r="D609">
        <v>73600</v>
      </c>
      <c r="N609" t="s">
        <v>34</v>
      </c>
      <c r="O609" t="s">
        <v>38</v>
      </c>
      <c r="P609" t="s">
        <v>44</v>
      </c>
      <c r="Q609">
        <v>3170</v>
      </c>
    </row>
    <row r="610" spans="1:17" x14ac:dyDescent="0.25">
      <c r="A610" t="s">
        <v>16</v>
      </c>
      <c r="B610" t="s">
        <v>42</v>
      </c>
      <c r="C610" t="s">
        <v>18</v>
      </c>
      <c r="D610">
        <v>262726</v>
      </c>
      <c r="N610" t="s">
        <v>34</v>
      </c>
      <c r="O610" t="s">
        <v>17</v>
      </c>
      <c r="P610" t="s">
        <v>18</v>
      </c>
      <c r="Q610">
        <v>36112</v>
      </c>
    </row>
    <row r="611" spans="1:17" x14ac:dyDescent="0.25">
      <c r="A611" t="s">
        <v>16</v>
      </c>
      <c r="B611" t="s">
        <v>42</v>
      </c>
      <c r="C611" t="s">
        <v>19</v>
      </c>
      <c r="D611">
        <v>296734</v>
      </c>
      <c r="N611" t="s">
        <v>34</v>
      </c>
      <c r="O611" t="s">
        <v>17</v>
      </c>
      <c r="P611" t="s">
        <v>19</v>
      </c>
      <c r="Q611">
        <v>36067</v>
      </c>
    </row>
    <row r="612" spans="1:17" x14ac:dyDescent="0.25">
      <c r="A612" t="s">
        <v>16</v>
      </c>
      <c r="B612" t="s">
        <v>42</v>
      </c>
      <c r="C612" t="s">
        <v>20</v>
      </c>
      <c r="D612">
        <v>350403</v>
      </c>
      <c r="N612" t="s">
        <v>34</v>
      </c>
      <c r="O612" t="s">
        <v>17</v>
      </c>
      <c r="P612" t="s">
        <v>20</v>
      </c>
      <c r="Q612">
        <v>34473</v>
      </c>
    </row>
    <row r="613" spans="1:17" x14ac:dyDescent="0.25">
      <c r="A613" t="s">
        <v>16</v>
      </c>
      <c r="B613" t="s">
        <v>42</v>
      </c>
      <c r="C613" t="s">
        <v>21</v>
      </c>
      <c r="D613">
        <v>356919</v>
      </c>
      <c r="N613" t="s">
        <v>34</v>
      </c>
      <c r="O613" t="s">
        <v>17</v>
      </c>
      <c r="P613" t="s">
        <v>21</v>
      </c>
      <c r="Q613">
        <v>35082</v>
      </c>
    </row>
    <row r="614" spans="1:17" x14ac:dyDescent="0.25">
      <c r="A614" t="s">
        <v>16</v>
      </c>
      <c r="B614" t="s">
        <v>42</v>
      </c>
      <c r="C614" t="s">
        <v>22</v>
      </c>
      <c r="D614">
        <v>355926</v>
      </c>
      <c r="N614" t="s">
        <v>34</v>
      </c>
      <c r="O614" t="s">
        <v>17</v>
      </c>
      <c r="P614" t="s">
        <v>22</v>
      </c>
      <c r="Q614">
        <v>35224</v>
      </c>
    </row>
    <row r="615" spans="1:17" x14ac:dyDescent="0.25">
      <c r="A615" t="s">
        <v>16</v>
      </c>
      <c r="B615" t="s">
        <v>42</v>
      </c>
      <c r="C615" t="s">
        <v>23</v>
      </c>
      <c r="D615">
        <v>390021</v>
      </c>
      <c r="N615" t="s">
        <v>34</v>
      </c>
      <c r="O615" t="s">
        <v>17</v>
      </c>
      <c r="P615" t="s">
        <v>23</v>
      </c>
      <c r="Q615">
        <v>35483</v>
      </c>
    </row>
    <row r="616" spans="1:17" x14ac:dyDescent="0.25">
      <c r="A616" t="s">
        <v>16</v>
      </c>
      <c r="B616" t="s">
        <v>42</v>
      </c>
      <c r="C616" t="s">
        <v>24</v>
      </c>
      <c r="D616">
        <v>433966</v>
      </c>
      <c r="N616" t="s">
        <v>34</v>
      </c>
      <c r="O616" t="s">
        <v>17</v>
      </c>
      <c r="P616" t="s">
        <v>24</v>
      </c>
      <c r="Q616">
        <v>36604</v>
      </c>
    </row>
    <row r="617" spans="1:17" x14ac:dyDescent="0.25">
      <c r="A617" t="s">
        <v>16</v>
      </c>
      <c r="B617" t="s">
        <v>42</v>
      </c>
      <c r="C617" t="s">
        <v>25</v>
      </c>
      <c r="D617">
        <v>339281</v>
      </c>
      <c r="N617" t="s">
        <v>34</v>
      </c>
      <c r="O617" t="s">
        <v>17</v>
      </c>
      <c r="P617" t="s">
        <v>25</v>
      </c>
      <c r="Q617">
        <v>37487</v>
      </c>
    </row>
    <row r="618" spans="1:17" x14ac:dyDescent="0.25">
      <c r="A618" t="s">
        <v>16</v>
      </c>
      <c r="B618" t="s">
        <v>42</v>
      </c>
      <c r="C618" t="s">
        <v>26</v>
      </c>
      <c r="D618">
        <v>290176</v>
      </c>
      <c r="N618" t="s">
        <v>34</v>
      </c>
      <c r="O618" t="s">
        <v>17</v>
      </c>
      <c r="P618" t="s">
        <v>26</v>
      </c>
      <c r="Q618">
        <v>36286</v>
      </c>
    </row>
    <row r="619" spans="1:17" x14ac:dyDescent="0.25">
      <c r="A619" t="s">
        <v>16</v>
      </c>
      <c r="B619" t="s">
        <v>42</v>
      </c>
      <c r="C619" t="s">
        <v>27</v>
      </c>
      <c r="D619">
        <v>177095</v>
      </c>
      <c r="N619" t="s">
        <v>34</v>
      </c>
      <c r="O619" t="s">
        <v>17</v>
      </c>
      <c r="P619" t="s">
        <v>27</v>
      </c>
      <c r="Q619">
        <v>31636</v>
      </c>
    </row>
    <row r="620" spans="1:17" x14ac:dyDescent="0.25">
      <c r="A620" t="s">
        <v>28</v>
      </c>
      <c r="B620" t="s">
        <v>42</v>
      </c>
      <c r="C620" t="s">
        <v>18</v>
      </c>
      <c r="D620">
        <v>20970</v>
      </c>
      <c r="N620" t="s">
        <v>34</v>
      </c>
      <c r="O620" t="s">
        <v>17</v>
      </c>
      <c r="P620" t="s">
        <v>43</v>
      </c>
      <c r="Q620">
        <v>36782</v>
      </c>
    </row>
    <row r="621" spans="1:17" x14ac:dyDescent="0.25">
      <c r="A621" t="s">
        <v>28</v>
      </c>
      <c r="B621" t="s">
        <v>42</v>
      </c>
      <c r="C621" t="s">
        <v>19</v>
      </c>
      <c r="D621">
        <v>22100</v>
      </c>
      <c r="N621" t="s">
        <v>34</v>
      </c>
      <c r="O621" t="s">
        <v>17</v>
      </c>
      <c r="P621" t="s">
        <v>44</v>
      </c>
      <c r="Q621">
        <v>40642</v>
      </c>
    </row>
    <row r="622" spans="1:17" x14ac:dyDescent="0.25">
      <c r="A622" t="s">
        <v>28</v>
      </c>
      <c r="B622" t="s">
        <v>42</v>
      </c>
      <c r="C622" t="s">
        <v>20</v>
      </c>
      <c r="D622">
        <v>24334</v>
      </c>
      <c r="N622" t="s">
        <v>34</v>
      </c>
      <c r="O622" t="s">
        <v>39</v>
      </c>
      <c r="P622" t="s">
        <v>18</v>
      </c>
      <c r="Q622">
        <v>6913</v>
      </c>
    </row>
    <row r="623" spans="1:17" x14ac:dyDescent="0.25">
      <c r="A623" t="s">
        <v>28</v>
      </c>
      <c r="B623" t="s">
        <v>42</v>
      </c>
      <c r="C623" t="s">
        <v>21</v>
      </c>
      <c r="D623">
        <v>24922</v>
      </c>
      <c r="N623" t="s">
        <v>34</v>
      </c>
      <c r="O623" t="s">
        <v>39</v>
      </c>
      <c r="P623" t="s">
        <v>19</v>
      </c>
      <c r="Q623">
        <v>6706</v>
      </c>
    </row>
    <row r="624" spans="1:17" x14ac:dyDescent="0.25">
      <c r="A624" t="s">
        <v>28</v>
      </c>
      <c r="B624" t="s">
        <v>42</v>
      </c>
      <c r="C624" t="s">
        <v>22</v>
      </c>
      <c r="D624">
        <v>24711</v>
      </c>
      <c r="N624" t="s">
        <v>34</v>
      </c>
      <c r="O624" t="s">
        <v>39</v>
      </c>
      <c r="P624" t="s">
        <v>20</v>
      </c>
      <c r="Q624">
        <v>6201</v>
      </c>
    </row>
    <row r="625" spans="1:17" x14ac:dyDescent="0.25">
      <c r="A625" t="s">
        <v>28</v>
      </c>
      <c r="B625" t="s">
        <v>42</v>
      </c>
      <c r="C625" t="s">
        <v>23</v>
      </c>
      <c r="D625">
        <v>26182</v>
      </c>
      <c r="N625" t="s">
        <v>34</v>
      </c>
      <c r="O625" t="s">
        <v>39</v>
      </c>
      <c r="P625" t="s">
        <v>21</v>
      </c>
      <c r="Q625">
        <v>6231</v>
      </c>
    </row>
    <row r="626" spans="1:17" x14ac:dyDescent="0.25">
      <c r="A626" t="s">
        <v>28</v>
      </c>
      <c r="B626" t="s">
        <v>42</v>
      </c>
      <c r="C626" t="s">
        <v>24</v>
      </c>
      <c r="D626">
        <v>27001</v>
      </c>
      <c r="N626" t="s">
        <v>34</v>
      </c>
      <c r="O626" t="s">
        <v>39</v>
      </c>
      <c r="P626" t="s">
        <v>22</v>
      </c>
      <c r="Q626">
        <v>6076</v>
      </c>
    </row>
    <row r="627" spans="1:17" x14ac:dyDescent="0.25">
      <c r="A627" t="s">
        <v>28</v>
      </c>
      <c r="B627" t="s">
        <v>42</v>
      </c>
      <c r="C627" t="s">
        <v>25</v>
      </c>
      <c r="D627">
        <v>22558</v>
      </c>
      <c r="N627" t="s">
        <v>34</v>
      </c>
      <c r="O627" t="s">
        <v>39</v>
      </c>
      <c r="P627" t="s">
        <v>23</v>
      </c>
      <c r="Q627">
        <v>6064</v>
      </c>
    </row>
    <row r="628" spans="1:17" x14ac:dyDescent="0.25">
      <c r="A628" t="s">
        <v>28</v>
      </c>
      <c r="B628" t="s">
        <v>42</v>
      </c>
      <c r="C628" t="s">
        <v>26</v>
      </c>
      <c r="D628">
        <v>20869</v>
      </c>
      <c r="N628" t="s">
        <v>34</v>
      </c>
      <c r="O628" t="s">
        <v>39</v>
      </c>
      <c r="P628" t="s">
        <v>24</v>
      </c>
      <c r="Q628">
        <v>6144</v>
      </c>
    </row>
    <row r="629" spans="1:17" x14ac:dyDescent="0.25">
      <c r="A629" t="s">
        <v>28</v>
      </c>
      <c r="B629" t="s">
        <v>42</v>
      </c>
      <c r="C629" t="s">
        <v>27</v>
      </c>
      <c r="D629">
        <v>13427</v>
      </c>
      <c r="N629" t="s">
        <v>34</v>
      </c>
      <c r="O629" t="s">
        <v>39</v>
      </c>
      <c r="P629" t="s">
        <v>25</v>
      </c>
      <c r="Q629">
        <v>6632</v>
      </c>
    </row>
    <row r="630" spans="1:17" x14ac:dyDescent="0.25">
      <c r="A630" t="s">
        <v>29</v>
      </c>
      <c r="B630" t="s">
        <v>42</v>
      </c>
      <c r="C630" t="s">
        <v>18</v>
      </c>
      <c r="D630">
        <v>6356</v>
      </c>
      <c r="N630" t="s">
        <v>34</v>
      </c>
      <c r="O630" t="s">
        <v>39</v>
      </c>
      <c r="P630" t="s">
        <v>26</v>
      </c>
      <c r="Q630">
        <v>6210</v>
      </c>
    </row>
    <row r="631" spans="1:17" x14ac:dyDescent="0.25">
      <c r="A631" t="s">
        <v>29</v>
      </c>
      <c r="B631" t="s">
        <v>42</v>
      </c>
      <c r="C631" t="s">
        <v>19</v>
      </c>
      <c r="D631">
        <v>8334</v>
      </c>
      <c r="N631" t="s">
        <v>34</v>
      </c>
      <c r="O631" t="s">
        <v>39</v>
      </c>
      <c r="P631" t="s">
        <v>27</v>
      </c>
      <c r="Q631">
        <v>5988</v>
      </c>
    </row>
    <row r="632" spans="1:17" x14ac:dyDescent="0.25">
      <c r="A632" t="s">
        <v>29</v>
      </c>
      <c r="B632" t="s">
        <v>42</v>
      </c>
      <c r="C632" t="s">
        <v>20</v>
      </c>
      <c r="D632">
        <v>10570</v>
      </c>
      <c r="N632" t="s">
        <v>34</v>
      </c>
      <c r="O632" t="s">
        <v>39</v>
      </c>
      <c r="P632" t="s">
        <v>43</v>
      </c>
      <c r="Q632">
        <v>6739</v>
      </c>
    </row>
    <row r="633" spans="1:17" x14ac:dyDescent="0.25">
      <c r="A633" t="s">
        <v>29</v>
      </c>
      <c r="B633" t="s">
        <v>42</v>
      </c>
      <c r="C633" t="s">
        <v>21</v>
      </c>
      <c r="D633">
        <v>11387</v>
      </c>
      <c r="N633" t="s">
        <v>34</v>
      </c>
      <c r="O633" t="s">
        <v>39</v>
      </c>
      <c r="P633" t="s">
        <v>44</v>
      </c>
      <c r="Q633">
        <v>7171</v>
      </c>
    </row>
    <row r="634" spans="1:17" x14ac:dyDescent="0.25">
      <c r="A634" t="s">
        <v>29</v>
      </c>
      <c r="B634" t="s">
        <v>42</v>
      </c>
      <c r="C634" t="s">
        <v>22</v>
      </c>
      <c r="D634">
        <v>12791</v>
      </c>
      <c r="N634" t="s">
        <v>34</v>
      </c>
      <c r="O634" t="s">
        <v>42</v>
      </c>
      <c r="P634" t="s">
        <v>18</v>
      </c>
      <c r="Q634">
        <v>9894</v>
      </c>
    </row>
    <row r="635" spans="1:17" x14ac:dyDescent="0.25">
      <c r="A635" t="s">
        <v>29</v>
      </c>
      <c r="B635" t="s">
        <v>42</v>
      </c>
      <c r="C635" t="s">
        <v>23</v>
      </c>
      <c r="D635">
        <v>15015</v>
      </c>
      <c r="N635" t="s">
        <v>34</v>
      </c>
      <c r="O635" t="s">
        <v>42</v>
      </c>
      <c r="P635" t="s">
        <v>19</v>
      </c>
      <c r="Q635">
        <v>11868</v>
      </c>
    </row>
    <row r="636" spans="1:17" x14ac:dyDescent="0.25">
      <c r="A636" t="s">
        <v>29</v>
      </c>
      <c r="B636" t="s">
        <v>42</v>
      </c>
      <c r="C636" t="s">
        <v>24</v>
      </c>
      <c r="D636">
        <v>16011</v>
      </c>
      <c r="N636" t="s">
        <v>34</v>
      </c>
      <c r="O636" t="s">
        <v>42</v>
      </c>
      <c r="P636" t="s">
        <v>20</v>
      </c>
      <c r="Q636">
        <v>13882</v>
      </c>
    </row>
    <row r="637" spans="1:17" x14ac:dyDescent="0.25">
      <c r="A637" t="s">
        <v>29</v>
      </c>
      <c r="B637" t="s">
        <v>42</v>
      </c>
      <c r="C637" t="s">
        <v>25</v>
      </c>
      <c r="D637">
        <v>11907</v>
      </c>
      <c r="N637" t="s">
        <v>34</v>
      </c>
      <c r="O637" t="s">
        <v>42</v>
      </c>
      <c r="P637" t="s">
        <v>21</v>
      </c>
      <c r="Q637">
        <v>14196</v>
      </c>
    </row>
    <row r="638" spans="1:17" x14ac:dyDescent="0.25">
      <c r="A638" t="s">
        <v>29</v>
      </c>
      <c r="B638" t="s">
        <v>42</v>
      </c>
      <c r="C638" t="s">
        <v>26</v>
      </c>
      <c r="D638">
        <v>8313</v>
      </c>
      <c r="N638" t="s">
        <v>34</v>
      </c>
      <c r="O638" t="s">
        <v>42</v>
      </c>
      <c r="P638" t="s">
        <v>22</v>
      </c>
      <c r="Q638">
        <v>15537</v>
      </c>
    </row>
    <row r="639" spans="1:17" x14ac:dyDescent="0.25">
      <c r="A639" t="s">
        <v>29</v>
      </c>
      <c r="B639" t="s">
        <v>42</v>
      </c>
      <c r="C639" t="s">
        <v>27</v>
      </c>
      <c r="D639">
        <v>6251</v>
      </c>
      <c r="N639" t="s">
        <v>34</v>
      </c>
      <c r="O639" t="s">
        <v>42</v>
      </c>
      <c r="P639" t="s">
        <v>23</v>
      </c>
      <c r="Q639">
        <v>15524</v>
      </c>
    </row>
    <row r="640" spans="1:17" x14ac:dyDescent="0.25">
      <c r="A640" t="s">
        <v>30</v>
      </c>
      <c r="B640" t="s">
        <v>42</v>
      </c>
      <c r="C640" t="s">
        <v>18</v>
      </c>
      <c r="D640">
        <v>51085</v>
      </c>
      <c r="N640" t="s">
        <v>34</v>
      </c>
      <c r="O640" t="s">
        <v>42</v>
      </c>
      <c r="P640" t="s">
        <v>24</v>
      </c>
      <c r="Q640">
        <v>17485</v>
      </c>
    </row>
    <row r="641" spans="1:17" x14ac:dyDescent="0.25">
      <c r="A641" t="s">
        <v>30</v>
      </c>
      <c r="B641" t="s">
        <v>42</v>
      </c>
      <c r="C641" t="s">
        <v>19</v>
      </c>
      <c r="D641">
        <v>64337</v>
      </c>
      <c r="N641" t="s">
        <v>34</v>
      </c>
      <c r="O641" t="s">
        <v>42</v>
      </c>
      <c r="P641" t="s">
        <v>25</v>
      </c>
      <c r="Q641">
        <v>13807</v>
      </c>
    </row>
    <row r="642" spans="1:17" x14ac:dyDescent="0.25">
      <c r="A642" t="s">
        <v>30</v>
      </c>
      <c r="B642" t="s">
        <v>42</v>
      </c>
      <c r="C642" t="s">
        <v>20</v>
      </c>
      <c r="D642">
        <v>104858</v>
      </c>
      <c r="N642" t="s">
        <v>34</v>
      </c>
      <c r="O642" t="s">
        <v>42</v>
      </c>
      <c r="P642" t="s">
        <v>26</v>
      </c>
      <c r="Q642">
        <v>12028</v>
      </c>
    </row>
    <row r="643" spans="1:17" x14ac:dyDescent="0.25">
      <c r="A643" t="s">
        <v>30</v>
      </c>
      <c r="B643" t="s">
        <v>42</v>
      </c>
      <c r="C643" t="s">
        <v>21</v>
      </c>
      <c r="D643">
        <v>100267</v>
      </c>
      <c r="N643" t="s">
        <v>34</v>
      </c>
      <c r="O643" t="s">
        <v>42</v>
      </c>
      <c r="P643" t="s">
        <v>27</v>
      </c>
      <c r="Q643">
        <v>5661</v>
      </c>
    </row>
    <row r="644" spans="1:17" x14ac:dyDescent="0.25">
      <c r="A644" t="s">
        <v>30</v>
      </c>
      <c r="B644" t="s">
        <v>42</v>
      </c>
      <c r="C644" t="s">
        <v>22</v>
      </c>
      <c r="D644">
        <v>91799</v>
      </c>
      <c r="N644" t="s">
        <v>34</v>
      </c>
      <c r="O644" t="s">
        <v>42</v>
      </c>
      <c r="P644" t="s">
        <v>43</v>
      </c>
      <c r="Q644">
        <v>8494</v>
      </c>
    </row>
    <row r="645" spans="1:17" x14ac:dyDescent="0.25">
      <c r="A645" t="s">
        <v>30</v>
      </c>
      <c r="B645" t="s">
        <v>42</v>
      </c>
      <c r="C645" t="s">
        <v>23</v>
      </c>
      <c r="D645">
        <v>95403</v>
      </c>
      <c r="N645" t="s">
        <v>34</v>
      </c>
      <c r="O645" t="s">
        <v>42</v>
      </c>
      <c r="P645" t="s">
        <v>44</v>
      </c>
      <c r="Q645">
        <v>10210</v>
      </c>
    </row>
    <row r="646" spans="1:17" x14ac:dyDescent="0.25">
      <c r="A646" t="s">
        <v>30</v>
      </c>
      <c r="B646" t="s">
        <v>42</v>
      </c>
      <c r="C646" t="s">
        <v>24</v>
      </c>
      <c r="D646">
        <v>107614</v>
      </c>
      <c r="N646" t="s">
        <v>34</v>
      </c>
      <c r="O646" t="s">
        <v>41</v>
      </c>
      <c r="P646" t="s">
        <v>18</v>
      </c>
      <c r="Q646">
        <v>25208</v>
      </c>
    </row>
    <row r="647" spans="1:17" x14ac:dyDescent="0.25">
      <c r="A647" t="s">
        <v>30</v>
      </c>
      <c r="B647" t="s">
        <v>42</v>
      </c>
      <c r="C647" t="s">
        <v>25</v>
      </c>
      <c r="D647">
        <v>90476</v>
      </c>
      <c r="N647" t="s">
        <v>34</v>
      </c>
      <c r="O647" t="s">
        <v>41</v>
      </c>
      <c r="P647" t="s">
        <v>19</v>
      </c>
      <c r="Q647">
        <v>26448</v>
      </c>
    </row>
    <row r="648" spans="1:17" x14ac:dyDescent="0.25">
      <c r="A648" t="s">
        <v>30</v>
      </c>
      <c r="B648" t="s">
        <v>42</v>
      </c>
      <c r="C648" t="s">
        <v>26</v>
      </c>
      <c r="D648">
        <v>83090</v>
      </c>
      <c r="N648" t="s">
        <v>34</v>
      </c>
      <c r="O648" t="s">
        <v>41</v>
      </c>
      <c r="P648" t="s">
        <v>20</v>
      </c>
      <c r="Q648">
        <v>26064</v>
      </c>
    </row>
    <row r="649" spans="1:17" x14ac:dyDescent="0.25">
      <c r="A649" t="s">
        <v>30</v>
      </c>
      <c r="B649" t="s">
        <v>42</v>
      </c>
      <c r="C649" t="s">
        <v>27</v>
      </c>
      <c r="D649">
        <v>47859</v>
      </c>
      <c r="N649" t="s">
        <v>34</v>
      </c>
      <c r="O649" t="s">
        <v>41</v>
      </c>
      <c r="P649" t="s">
        <v>21</v>
      </c>
      <c r="Q649">
        <v>24229</v>
      </c>
    </row>
    <row r="650" spans="1:17" x14ac:dyDescent="0.25">
      <c r="A650" t="s">
        <v>31</v>
      </c>
      <c r="B650" t="s">
        <v>42</v>
      </c>
      <c r="C650" t="s">
        <v>18</v>
      </c>
      <c r="D650">
        <v>55907</v>
      </c>
      <c r="N650" t="s">
        <v>34</v>
      </c>
      <c r="O650" t="s">
        <v>41</v>
      </c>
      <c r="P650" t="s">
        <v>22</v>
      </c>
      <c r="Q650">
        <v>23151</v>
      </c>
    </row>
    <row r="651" spans="1:17" x14ac:dyDescent="0.25">
      <c r="A651" t="s">
        <v>31</v>
      </c>
      <c r="B651" t="s">
        <v>42</v>
      </c>
      <c r="C651" t="s">
        <v>19</v>
      </c>
      <c r="D651">
        <v>62908</v>
      </c>
      <c r="N651" t="s">
        <v>34</v>
      </c>
      <c r="O651" t="s">
        <v>41</v>
      </c>
      <c r="P651" t="s">
        <v>23</v>
      </c>
      <c r="Q651">
        <v>21767</v>
      </c>
    </row>
    <row r="652" spans="1:17" x14ac:dyDescent="0.25">
      <c r="A652" t="s">
        <v>31</v>
      </c>
      <c r="B652" t="s">
        <v>42</v>
      </c>
      <c r="C652" t="s">
        <v>20</v>
      </c>
      <c r="D652">
        <v>64896</v>
      </c>
      <c r="N652" t="s">
        <v>34</v>
      </c>
      <c r="O652" t="s">
        <v>41</v>
      </c>
      <c r="P652" t="s">
        <v>24</v>
      </c>
      <c r="Q652">
        <v>20020</v>
      </c>
    </row>
    <row r="653" spans="1:17" x14ac:dyDescent="0.25">
      <c r="A653" t="s">
        <v>31</v>
      </c>
      <c r="B653" t="s">
        <v>42</v>
      </c>
      <c r="C653" t="s">
        <v>21</v>
      </c>
      <c r="D653">
        <v>65418</v>
      </c>
      <c r="N653" t="s">
        <v>34</v>
      </c>
      <c r="O653" t="s">
        <v>41</v>
      </c>
      <c r="P653" t="s">
        <v>25</v>
      </c>
      <c r="Q653">
        <v>21840</v>
      </c>
    </row>
    <row r="654" spans="1:17" x14ac:dyDescent="0.25">
      <c r="A654" t="s">
        <v>31</v>
      </c>
      <c r="B654" t="s">
        <v>42</v>
      </c>
      <c r="C654" t="s">
        <v>22</v>
      </c>
      <c r="D654">
        <v>64875</v>
      </c>
      <c r="N654" t="s">
        <v>34</v>
      </c>
      <c r="O654" t="s">
        <v>41</v>
      </c>
      <c r="P654" t="s">
        <v>26</v>
      </c>
      <c r="Q654">
        <v>20358</v>
      </c>
    </row>
    <row r="655" spans="1:17" x14ac:dyDescent="0.25">
      <c r="A655" t="s">
        <v>31</v>
      </c>
      <c r="B655" t="s">
        <v>42</v>
      </c>
      <c r="C655" t="s">
        <v>23</v>
      </c>
      <c r="D655">
        <v>71390</v>
      </c>
      <c r="N655" t="s">
        <v>34</v>
      </c>
      <c r="O655" t="s">
        <v>41</v>
      </c>
      <c r="P655" t="s">
        <v>27</v>
      </c>
      <c r="Q655">
        <v>18245</v>
      </c>
    </row>
    <row r="656" spans="1:17" x14ac:dyDescent="0.25">
      <c r="A656" t="s">
        <v>31</v>
      </c>
      <c r="B656" t="s">
        <v>42</v>
      </c>
      <c r="C656" t="s">
        <v>24</v>
      </c>
      <c r="D656">
        <v>80143</v>
      </c>
      <c r="N656" t="s">
        <v>34</v>
      </c>
      <c r="O656" t="s">
        <v>41</v>
      </c>
      <c r="P656" t="s">
        <v>43</v>
      </c>
      <c r="Q656">
        <v>21647</v>
      </c>
    </row>
    <row r="657" spans="1:17" x14ac:dyDescent="0.25">
      <c r="A657" t="s">
        <v>31</v>
      </c>
      <c r="B657" t="s">
        <v>42</v>
      </c>
      <c r="C657" t="s">
        <v>25</v>
      </c>
      <c r="D657">
        <v>60283</v>
      </c>
      <c r="N657" t="s">
        <v>34</v>
      </c>
      <c r="O657" t="s">
        <v>41</v>
      </c>
      <c r="P657" t="s">
        <v>44</v>
      </c>
      <c r="Q657">
        <v>23921</v>
      </c>
    </row>
    <row r="658" spans="1:17" x14ac:dyDescent="0.25">
      <c r="A658" t="s">
        <v>31</v>
      </c>
      <c r="B658" t="s">
        <v>42</v>
      </c>
      <c r="C658" t="s">
        <v>26</v>
      </c>
      <c r="D658">
        <v>54199</v>
      </c>
      <c r="N658" t="s">
        <v>34</v>
      </c>
      <c r="O658" t="s">
        <v>40</v>
      </c>
      <c r="P658" t="s">
        <v>18</v>
      </c>
      <c r="Q658">
        <v>30389</v>
      </c>
    </row>
    <row r="659" spans="1:17" x14ac:dyDescent="0.25">
      <c r="A659" t="s">
        <v>31</v>
      </c>
      <c r="B659" t="s">
        <v>42</v>
      </c>
      <c r="C659" t="s">
        <v>27</v>
      </c>
      <c r="D659">
        <v>29371</v>
      </c>
      <c r="N659" t="s">
        <v>34</v>
      </c>
      <c r="O659" t="s">
        <v>40</v>
      </c>
      <c r="P659" t="s">
        <v>19</v>
      </c>
      <c r="Q659">
        <v>31725</v>
      </c>
    </row>
    <row r="660" spans="1:17" x14ac:dyDescent="0.25">
      <c r="A660" t="s">
        <v>32</v>
      </c>
      <c r="B660" t="s">
        <v>42</v>
      </c>
      <c r="C660" t="s">
        <v>18</v>
      </c>
      <c r="D660">
        <v>9081</v>
      </c>
      <c r="N660" t="s">
        <v>34</v>
      </c>
      <c r="O660" t="s">
        <v>40</v>
      </c>
      <c r="P660" t="s">
        <v>20</v>
      </c>
      <c r="Q660">
        <v>30657</v>
      </c>
    </row>
    <row r="661" spans="1:17" x14ac:dyDescent="0.25">
      <c r="A661" t="s">
        <v>32</v>
      </c>
      <c r="B661" t="s">
        <v>42</v>
      </c>
      <c r="C661" t="s">
        <v>19</v>
      </c>
      <c r="D661">
        <v>12402</v>
      </c>
      <c r="N661" t="s">
        <v>34</v>
      </c>
      <c r="O661" t="s">
        <v>40</v>
      </c>
      <c r="P661" t="s">
        <v>21</v>
      </c>
      <c r="Q661">
        <v>31674</v>
      </c>
    </row>
    <row r="662" spans="1:17" x14ac:dyDescent="0.25">
      <c r="A662" t="s">
        <v>32</v>
      </c>
      <c r="B662" t="s">
        <v>42</v>
      </c>
      <c r="C662" t="s">
        <v>20</v>
      </c>
      <c r="D662">
        <v>14269</v>
      </c>
      <c r="N662" t="s">
        <v>34</v>
      </c>
      <c r="O662" t="s">
        <v>40</v>
      </c>
      <c r="P662" t="s">
        <v>22</v>
      </c>
      <c r="Q662">
        <v>31469</v>
      </c>
    </row>
    <row r="663" spans="1:17" x14ac:dyDescent="0.25">
      <c r="A663" t="s">
        <v>32</v>
      </c>
      <c r="B663" t="s">
        <v>42</v>
      </c>
      <c r="C663" t="s">
        <v>21</v>
      </c>
      <c r="D663">
        <v>18321</v>
      </c>
      <c r="N663" t="s">
        <v>34</v>
      </c>
      <c r="O663" t="s">
        <v>40</v>
      </c>
      <c r="P663" t="s">
        <v>23</v>
      </c>
      <c r="Q663">
        <v>33503</v>
      </c>
    </row>
    <row r="664" spans="1:17" x14ac:dyDescent="0.25">
      <c r="A664" t="s">
        <v>32</v>
      </c>
      <c r="B664" t="s">
        <v>42</v>
      </c>
      <c r="C664" t="s">
        <v>22</v>
      </c>
      <c r="D664">
        <v>17709</v>
      </c>
      <c r="N664" t="s">
        <v>34</v>
      </c>
      <c r="O664" t="s">
        <v>40</v>
      </c>
      <c r="P664" t="s">
        <v>24</v>
      </c>
      <c r="Q664">
        <v>32255</v>
      </c>
    </row>
    <row r="665" spans="1:17" x14ac:dyDescent="0.25">
      <c r="A665" t="s">
        <v>32</v>
      </c>
      <c r="B665" t="s">
        <v>42</v>
      </c>
      <c r="C665" t="s">
        <v>23</v>
      </c>
      <c r="D665">
        <v>20044</v>
      </c>
      <c r="N665" t="s">
        <v>34</v>
      </c>
      <c r="O665" t="s">
        <v>40</v>
      </c>
      <c r="P665" t="s">
        <v>25</v>
      </c>
      <c r="Q665">
        <v>33039</v>
      </c>
    </row>
    <row r="666" spans="1:17" x14ac:dyDescent="0.25">
      <c r="A666" t="s">
        <v>32</v>
      </c>
      <c r="B666" t="s">
        <v>42</v>
      </c>
      <c r="C666" t="s">
        <v>24</v>
      </c>
      <c r="D666">
        <v>27262</v>
      </c>
      <c r="N666" t="s">
        <v>34</v>
      </c>
      <c r="O666" t="s">
        <v>40</v>
      </c>
      <c r="P666" t="s">
        <v>26</v>
      </c>
      <c r="Q666">
        <v>29877</v>
      </c>
    </row>
    <row r="667" spans="1:17" x14ac:dyDescent="0.25">
      <c r="A667" t="s">
        <v>32</v>
      </c>
      <c r="B667" t="s">
        <v>42</v>
      </c>
      <c r="C667" t="s">
        <v>25</v>
      </c>
      <c r="D667">
        <v>23249</v>
      </c>
      <c r="N667" t="s">
        <v>34</v>
      </c>
      <c r="O667" t="s">
        <v>40</v>
      </c>
      <c r="P667" t="s">
        <v>27</v>
      </c>
      <c r="Q667">
        <v>25247</v>
      </c>
    </row>
    <row r="668" spans="1:17" x14ac:dyDescent="0.25">
      <c r="A668" t="s">
        <v>32</v>
      </c>
      <c r="B668" t="s">
        <v>42</v>
      </c>
      <c r="C668" t="s">
        <v>26</v>
      </c>
      <c r="D668">
        <v>16920</v>
      </c>
      <c r="N668" t="s">
        <v>34</v>
      </c>
      <c r="O668" t="s">
        <v>40</v>
      </c>
      <c r="P668" t="s">
        <v>43</v>
      </c>
      <c r="Q668">
        <v>25020</v>
      </c>
    </row>
    <row r="669" spans="1:17" x14ac:dyDescent="0.25">
      <c r="A669" t="s">
        <v>32</v>
      </c>
      <c r="B669" t="s">
        <v>42</v>
      </c>
      <c r="C669" t="s">
        <v>27</v>
      </c>
      <c r="D669">
        <v>13767</v>
      </c>
      <c r="N669" t="s">
        <v>34</v>
      </c>
      <c r="O669" t="s">
        <v>40</v>
      </c>
      <c r="P669" t="s">
        <v>44</v>
      </c>
      <c r="Q669">
        <v>26082</v>
      </c>
    </row>
    <row r="670" spans="1:17" x14ac:dyDescent="0.25">
      <c r="A670" t="s">
        <v>33</v>
      </c>
      <c r="B670" t="s">
        <v>42</v>
      </c>
      <c r="C670" t="s">
        <v>18</v>
      </c>
      <c r="D670">
        <v>8657</v>
      </c>
      <c r="N670" t="s">
        <v>34</v>
      </c>
      <c r="O670" t="s">
        <v>37</v>
      </c>
      <c r="P670" t="s">
        <v>18</v>
      </c>
      <c r="Q670">
        <v>4885</v>
      </c>
    </row>
    <row r="671" spans="1:17" x14ac:dyDescent="0.25">
      <c r="A671" t="s">
        <v>33</v>
      </c>
      <c r="B671" t="s">
        <v>42</v>
      </c>
      <c r="C671" t="s">
        <v>19</v>
      </c>
      <c r="D671">
        <v>10740</v>
      </c>
      <c r="N671" t="s">
        <v>34</v>
      </c>
      <c r="O671" t="s">
        <v>37</v>
      </c>
      <c r="P671" t="s">
        <v>19</v>
      </c>
      <c r="Q671">
        <v>5228</v>
      </c>
    </row>
    <row r="672" spans="1:17" x14ac:dyDescent="0.25">
      <c r="A672" t="s">
        <v>33</v>
      </c>
      <c r="B672" t="s">
        <v>42</v>
      </c>
      <c r="C672" t="s">
        <v>20</v>
      </c>
      <c r="D672">
        <v>11534</v>
      </c>
      <c r="N672" t="s">
        <v>34</v>
      </c>
      <c r="O672" t="s">
        <v>37</v>
      </c>
      <c r="P672" t="s">
        <v>20</v>
      </c>
      <c r="Q672">
        <v>4616</v>
      </c>
    </row>
    <row r="673" spans="1:17" x14ac:dyDescent="0.25">
      <c r="A673" t="s">
        <v>33</v>
      </c>
      <c r="B673" t="s">
        <v>42</v>
      </c>
      <c r="C673" t="s">
        <v>21</v>
      </c>
      <c r="D673">
        <v>12929</v>
      </c>
      <c r="N673" t="s">
        <v>34</v>
      </c>
      <c r="O673" t="s">
        <v>37</v>
      </c>
      <c r="P673" t="s">
        <v>21</v>
      </c>
      <c r="Q673">
        <v>4585</v>
      </c>
    </row>
    <row r="674" spans="1:17" x14ac:dyDescent="0.25">
      <c r="A674" t="s">
        <v>33</v>
      </c>
      <c r="B674" t="s">
        <v>42</v>
      </c>
      <c r="C674" t="s">
        <v>22</v>
      </c>
      <c r="D674">
        <v>14539</v>
      </c>
      <c r="N674" t="s">
        <v>34</v>
      </c>
      <c r="O674" t="s">
        <v>37</v>
      </c>
      <c r="P674" t="s">
        <v>22</v>
      </c>
      <c r="Q674">
        <v>4164</v>
      </c>
    </row>
    <row r="675" spans="1:17" x14ac:dyDescent="0.25">
      <c r="A675" t="s">
        <v>33</v>
      </c>
      <c r="B675" t="s">
        <v>42</v>
      </c>
      <c r="C675" t="s">
        <v>23</v>
      </c>
      <c r="D675">
        <v>16902</v>
      </c>
      <c r="N675" t="s">
        <v>34</v>
      </c>
      <c r="O675" t="s">
        <v>37</v>
      </c>
      <c r="P675" t="s">
        <v>23</v>
      </c>
      <c r="Q675">
        <v>4326</v>
      </c>
    </row>
    <row r="676" spans="1:17" x14ac:dyDescent="0.25">
      <c r="A676" t="s">
        <v>33</v>
      </c>
      <c r="B676" t="s">
        <v>42</v>
      </c>
      <c r="C676" t="s">
        <v>24</v>
      </c>
      <c r="D676">
        <v>18434</v>
      </c>
      <c r="N676" t="s">
        <v>34</v>
      </c>
      <c r="O676" t="s">
        <v>37</v>
      </c>
      <c r="P676" t="s">
        <v>24</v>
      </c>
      <c r="Q676">
        <v>4182</v>
      </c>
    </row>
    <row r="677" spans="1:17" x14ac:dyDescent="0.25">
      <c r="A677" t="s">
        <v>33</v>
      </c>
      <c r="B677" t="s">
        <v>42</v>
      </c>
      <c r="C677" t="s">
        <v>25</v>
      </c>
      <c r="D677">
        <v>15205</v>
      </c>
      <c r="N677" t="s">
        <v>34</v>
      </c>
      <c r="O677" t="s">
        <v>37</v>
      </c>
      <c r="P677" t="s">
        <v>25</v>
      </c>
      <c r="Q677">
        <v>4021</v>
      </c>
    </row>
    <row r="678" spans="1:17" x14ac:dyDescent="0.25">
      <c r="A678" t="s">
        <v>33</v>
      </c>
      <c r="B678" t="s">
        <v>42</v>
      </c>
      <c r="C678" t="s">
        <v>26</v>
      </c>
      <c r="D678">
        <v>13267</v>
      </c>
      <c r="N678" t="s">
        <v>34</v>
      </c>
      <c r="O678" t="s">
        <v>37</v>
      </c>
      <c r="P678" t="s">
        <v>26</v>
      </c>
      <c r="Q678">
        <v>3824</v>
      </c>
    </row>
    <row r="679" spans="1:17" x14ac:dyDescent="0.25">
      <c r="A679" t="s">
        <v>33</v>
      </c>
      <c r="B679" t="s">
        <v>42</v>
      </c>
      <c r="C679" t="s">
        <v>27</v>
      </c>
      <c r="D679">
        <v>7167</v>
      </c>
      <c r="N679" t="s">
        <v>34</v>
      </c>
      <c r="O679" t="s">
        <v>37</v>
      </c>
      <c r="P679" t="s">
        <v>27</v>
      </c>
      <c r="Q679">
        <v>3262</v>
      </c>
    </row>
    <row r="680" spans="1:17" x14ac:dyDescent="0.25">
      <c r="A680" t="s">
        <v>34</v>
      </c>
      <c r="B680" t="s">
        <v>42</v>
      </c>
      <c r="C680" t="s">
        <v>18</v>
      </c>
      <c r="D680">
        <v>9894</v>
      </c>
      <c r="N680" t="s">
        <v>34</v>
      </c>
      <c r="O680" t="s">
        <v>37</v>
      </c>
      <c r="P680" t="s">
        <v>43</v>
      </c>
      <c r="Q680">
        <v>3737</v>
      </c>
    </row>
    <row r="681" spans="1:17" x14ac:dyDescent="0.25">
      <c r="A681" t="s">
        <v>34</v>
      </c>
      <c r="B681" t="s">
        <v>42</v>
      </c>
      <c r="C681" t="s">
        <v>19</v>
      </c>
      <c r="D681">
        <v>11868</v>
      </c>
      <c r="N681" t="s">
        <v>34</v>
      </c>
      <c r="O681" t="s">
        <v>37</v>
      </c>
      <c r="P681" t="s">
        <v>44</v>
      </c>
      <c r="Q681">
        <v>3888</v>
      </c>
    </row>
    <row r="682" spans="1:17" x14ac:dyDescent="0.25">
      <c r="A682" t="s">
        <v>34</v>
      </c>
      <c r="B682" t="s">
        <v>42</v>
      </c>
      <c r="C682" t="s">
        <v>20</v>
      </c>
      <c r="D682">
        <v>13882</v>
      </c>
      <c r="N682" t="s">
        <v>36</v>
      </c>
      <c r="O682" t="s">
        <v>38</v>
      </c>
      <c r="P682" t="s">
        <v>18</v>
      </c>
      <c r="Q682">
        <v>13739</v>
      </c>
    </row>
    <row r="683" spans="1:17" x14ac:dyDescent="0.25">
      <c r="A683" t="s">
        <v>34</v>
      </c>
      <c r="B683" t="s">
        <v>42</v>
      </c>
      <c r="C683" t="s">
        <v>21</v>
      </c>
      <c r="D683">
        <v>14196</v>
      </c>
      <c r="N683" t="s">
        <v>36</v>
      </c>
      <c r="O683" t="s">
        <v>38</v>
      </c>
      <c r="P683" t="s">
        <v>19</v>
      </c>
      <c r="Q683">
        <v>16681</v>
      </c>
    </row>
    <row r="684" spans="1:17" x14ac:dyDescent="0.25">
      <c r="A684" t="s">
        <v>34</v>
      </c>
      <c r="B684" t="s">
        <v>42</v>
      </c>
      <c r="C684" t="s">
        <v>22</v>
      </c>
      <c r="D684">
        <v>15537</v>
      </c>
      <c r="N684" t="s">
        <v>36</v>
      </c>
      <c r="O684" t="s">
        <v>38</v>
      </c>
      <c r="P684" t="s">
        <v>20</v>
      </c>
      <c r="Q684">
        <v>19484</v>
      </c>
    </row>
    <row r="685" spans="1:17" x14ac:dyDescent="0.25">
      <c r="A685" t="s">
        <v>34</v>
      </c>
      <c r="B685" t="s">
        <v>42</v>
      </c>
      <c r="C685" t="s">
        <v>23</v>
      </c>
      <c r="D685">
        <v>15524</v>
      </c>
      <c r="N685" t="s">
        <v>36</v>
      </c>
      <c r="O685" t="s">
        <v>38</v>
      </c>
      <c r="P685" t="s">
        <v>21</v>
      </c>
      <c r="Q685">
        <v>23116</v>
      </c>
    </row>
    <row r="686" spans="1:17" x14ac:dyDescent="0.25">
      <c r="A686" t="s">
        <v>34</v>
      </c>
      <c r="B686" t="s">
        <v>42</v>
      </c>
      <c r="C686" t="s">
        <v>24</v>
      </c>
      <c r="D686">
        <v>17485</v>
      </c>
      <c r="N686" t="s">
        <v>36</v>
      </c>
      <c r="O686" t="s">
        <v>38</v>
      </c>
      <c r="P686" t="s">
        <v>22</v>
      </c>
      <c r="Q686">
        <v>23732</v>
      </c>
    </row>
    <row r="687" spans="1:17" x14ac:dyDescent="0.25">
      <c r="A687" t="s">
        <v>34</v>
      </c>
      <c r="B687" t="s">
        <v>42</v>
      </c>
      <c r="C687" t="s">
        <v>25</v>
      </c>
      <c r="D687">
        <v>13807</v>
      </c>
      <c r="N687" t="s">
        <v>36</v>
      </c>
      <c r="O687" t="s">
        <v>38</v>
      </c>
      <c r="P687" t="s">
        <v>23</v>
      </c>
      <c r="Q687">
        <v>24032</v>
      </c>
    </row>
    <row r="688" spans="1:17" x14ac:dyDescent="0.25">
      <c r="A688" t="s">
        <v>34</v>
      </c>
      <c r="B688" t="s">
        <v>42</v>
      </c>
      <c r="C688" t="s">
        <v>26</v>
      </c>
      <c r="D688">
        <v>12028</v>
      </c>
      <c r="N688" t="s">
        <v>36</v>
      </c>
      <c r="O688" t="s">
        <v>38</v>
      </c>
      <c r="P688" t="s">
        <v>24</v>
      </c>
      <c r="Q688">
        <v>24329</v>
      </c>
    </row>
    <row r="689" spans="1:17" x14ac:dyDescent="0.25">
      <c r="A689" t="s">
        <v>34</v>
      </c>
      <c r="B689" t="s">
        <v>42</v>
      </c>
      <c r="C689" t="s">
        <v>27</v>
      </c>
      <c r="D689">
        <v>5661</v>
      </c>
      <c r="N689" t="s">
        <v>36</v>
      </c>
      <c r="O689" t="s">
        <v>38</v>
      </c>
      <c r="P689" t="s">
        <v>25</v>
      </c>
      <c r="Q689">
        <v>24065</v>
      </c>
    </row>
    <row r="690" spans="1:17" x14ac:dyDescent="0.25">
      <c r="A690" t="s">
        <v>35</v>
      </c>
      <c r="B690" t="s">
        <v>42</v>
      </c>
      <c r="C690" t="s">
        <v>18</v>
      </c>
      <c r="D690">
        <v>3597</v>
      </c>
      <c r="N690" t="s">
        <v>36</v>
      </c>
      <c r="O690" t="s">
        <v>38</v>
      </c>
      <c r="P690" t="s">
        <v>26</v>
      </c>
      <c r="Q690">
        <v>24549</v>
      </c>
    </row>
    <row r="691" spans="1:17" x14ac:dyDescent="0.25">
      <c r="A691" t="s">
        <v>35</v>
      </c>
      <c r="B691" t="s">
        <v>42</v>
      </c>
      <c r="C691" t="s">
        <v>19</v>
      </c>
      <c r="D691">
        <v>3749</v>
      </c>
      <c r="N691" t="s">
        <v>36</v>
      </c>
      <c r="O691" t="s">
        <v>38</v>
      </c>
      <c r="P691" t="s">
        <v>27</v>
      </c>
      <c r="Q691">
        <v>19050</v>
      </c>
    </row>
    <row r="692" spans="1:17" x14ac:dyDescent="0.25">
      <c r="A692" t="s">
        <v>35</v>
      </c>
      <c r="B692" t="s">
        <v>42</v>
      </c>
      <c r="C692" t="s">
        <v>20</v>
      </c>
      <c r="D692">
        <v>4093</v>
      </c>
      <c r="N692" t="s">
        <v>36</v>
      </c>
      <c r="O692" t="s">
        <v>38</v>
      </c>
      <c r="P692" t="s">
        <v>43</v>
      </c>
      <c r="Q692">
        <v>6953</v>
      </c>
    </row>
    <row r="693" spans="1:17" x14ac:dyDescent="0.25">
      <c r="A693" t="s">
        <v>35</v>
      </c>
      <c r="B693" t="s">
        <v>42</v>
      </c>
      <c r="C693" t="s">
        <v>21</v>
      </c>
      <c r="D693">
        <v>4436</v>
      </c>
      <c r="N693" t="s">
        <v>36</v>
      </c>
      <c r="O693" t="s">
        <v>38</v>
      </c>
      <c r="P693" t="s">
        <v>44</v>
      </c>
      <c r="Q693">
        <v>7150</v>
      </c>
    </row>
    <row r="694" spans="1:17" x14ac:dyDescent="0.25">
      <c r="A694" t="s">
        <v>35</v>
      </c>
      <c r="B694" t="s">
        <v>42</v>
      </c>
      <c r="C694" t="s">
        <v>22</v>
      </c>
      <c r="D694">
        <v>5183</v>
      </c>
      <c r="N694" t="s">
        <v>36</v>
      </c>
      <c r="O694" t="s">
        <v>17</v>
      </c>
      <c r="P694" t="s">
        <v>18</v>
      </c>
      <c r="Q694">
        <v>97301</v>
      </c>
    </row>
    <row r="695" spans="1:17" x14ac:dyDescent="0.25">
      <c r="A695" t="s">
        <v>35</v>
      </c>
      <c r="B695" t="s">
        <v>42</v>
      </c>
      <c r="C695" t="s">
        <v>23</v>
      </c>
      <c r="D695">
        <v>6084</v>
      </c>
      <c r="N695" t="s">
        <v>36</v>
      </c>
      <c r="O695" t="s">
        <v>17</v>
      </c>
      <c r="P695" t="s">
        <v>19</v>
      </c>
      <c r="Q695">
        <v>103346</v>
      </c>
    </row>
    <row r="696" spans="1:17" x14ac:dyDescent="0.25">
      <c r="A696" t="s">
        <v>35</v>
      </c>
      <c r="B696" t="s">
        <v>42</v>
      </c>
      <c r="C696" t="s">
        <v>24</v>
      </c>
      <c r="D696">
        <v>6495</v>
      </c>
      <c r="N696" t="s">
        <v>36</v>
      </c>
      <c r="O696" t="s">
        <v>17</v>
      </c>
      <c r="P696" t="s">
        <v>20</v>
      </c>
      <c r="Q696">
        <v>108589</v>
      </c>
    </row>
    <row r="697" spans="1:17" x14ac:dyDescent="0.25">
      <c r="A697" t="s">
        <v>35</v>
      </c>
      <c r="B697" t="s">
        <v>42</v>
      </c>
      <c r="C697" t="s">
        <v>25</v>
      </c>
      <c r="D697">
        <v>4573</v>
      </c>
      <c r="N697" t="s">
        <v>36</v>
      </c>
      <c r="O697" t="s">
        <v>17</v>
      </c>
      <c r="P697" t="s">
        <v>21</v>
      </c>
      <c r="Q697">
        <v>116168</v>
      </c>
    </row>
    <row r="698" spans="1:17" x14ac:dyDescent="0.25">
      <c r="A698" t="s">
        <v>35</v>
      </c>
      <c r="B698" t="s">
        <v>42</v>
      </c>
      <c r="C698" t="s">
        <v>26</v>
      </c>
      <c r="D698">
        <v>3316</v>
      </c>
      <c r="N698" t="s">
        <v>36</v>
      </c>
      <c r="O698" t="s">
        <v>17</v>
      </c>
      <c r="P698" t="s">
        <v>22</v>
      </c>
      <c r="Q698">
        <v>116858</v>
      </c>
    </row>
    <row r="699" spans="1:17" x14ac:dyDescent="0.25">
      <c r="A699" t="s">
        <v>35</v>
      </c>
      <c r="B699" t="s">
        <v>42</v>
      </c>
      <c r="C699" t="s">
        <v>27</v>
      </c>
      <c r="D699">
        <v>2594</v>
      </c>
      <c r="N699" t="s">
        <v>36</v>
      </c>
      <c r="O699" t="s">
        <v>17</v>
      </c>
      <c r="P699" t="s">
        <v>23</v>
      </c>
      <c r="Q699">
        <v>114704</v>
      </c>
    </row>
    <row r="700" spans="1:17" x14ac:dyDescent="0.25">
      <c r="A700" t="s">
        <v>36</v>
      </c>
      <c r="B700" t="s">
        <v>42</v>
      </c>
      <c r="C700" t="s">
        <v>18</v>
      </c>
      <c r="D700">
        <v>97179</v>
      </c>
      <c r="N700" t="s">
        <v>36</v>
      </c>
      <c r="O700" t="s">
        <v>17</v>
      </c>
      <c r="P700" t="s">
        <v>24</v>
      </c>
      <c r="Q700">
        <v>112996</v>
      </c>
    </row>
    <row r="701" spans="1:17" x14ac:dyDescent="0.25">
      <c r="A701" t="s">
        <v>36</v>
      </c>
      <c r="B701" t="s">
        <v>42</v>
      </c>
      <c r="C701" t="s">
        <v>19</v>
      </c>
      <c r="D701">
        <v>100296</v>
      </c>
      <c r="N701" t="s">
        <v>36</v>
      </c>
      <c r="O701" t="s">
        <v>17</v>
      </c>
      <c r="P701" t="s">
        <v>25</v>
      </c>
      <c r="Q701">
        <v>113987</v>
      </c>
    </row>
    <row r="702" spans="1:17" x14ac:dyDescent="0.25">
      <c r="A702" t="s">
        <v>36</v>
      </c>
      <c r="B702" t="s">
        <v>42</v>
      </c>
      <c r="C702" t="s">
        <v>20</v>
      </c>
      <c r="D702">
        <v>101967</v>
      </c>
      <c r="N702" t="s">
        <v>36</v>
      </c>
      <c r="O702" t="s">
        <v>17</v>
      </c>
      <c r="P702" t="s">
        <v>26</v>
      </c>
      <c r="Q702">
        <v>113508</v>
      </c>
    </row>
    <row r="703" spans="1:17" x14ac:dyDescent="0.25">
      <c r="A703" t="s">
        <v>36</v>
      </c>
      <c r="B703" t="s">
        <v>42</v>
      </c>
      <c r="C703" t="s">
        <v>21</v>
      </c>
      <c r="D703">
        <v>105043</v>
      </c>
      <c r="N703" t="s">
        <v>36</v>
      </c>
      <c r="O703" t="s">
        <v>17</v>
      </c>
      <c r="P703" t="s">
        <v>27</v>
      </c>
      <c r="Q703">
        <v>94141</v>
      </c>
    </row>
    <row r="704" spans="1:17" x14ac:dyDescent="0.25">
      <c r="A704" t="s">
        <v>36</v>
      </c>
      <c r="B704" t="s">
        <v>42</v>
      </c>
      <c r="C704" t="s">
        <v>22</v>
      </c>
      <c r="D704">
        <v>108782</v>
      </c>
      <c r="N704" t="s">
        <v>36</v>
      </c>
      <c r="O704" t="s">
        <v>17</v>
      </c>
      <c r="P704" t="s">
        <v>43</v>
      </c>
      <c r="Q704">
        <v>102057</v>
      </c>
    </row>
    <row r="705" spans="1:17" x14ac:dyDescent="0.25">
      <c r="A705" t="s">
        <v>36</v>
      </c>
      <c r="B705" t="s">
        <v>42</v>
      </c>
      <c r="C705" t="s">
        <v>23</v>
      </c>
      <c r="D705">
        <v>123477</v>
      </c>
      <c r="N705" t="s">
        <v>36</v>
      </c>
      <c r="O705" t="s">
        <v>17</v>
      </c>
      <c r="P705" t="s">
        <v>44</v>
      </c>
      <c r="Q705">
        <v>112707</v>
      </c>
    </row>
    <row r="706" spans="1:17" x14ac:dyDescent="0.25">
      <c r="A706" t="s">
        <v>36</v>
      </c>
      <c r="B706" t="s">
        <v>42</v>
      </c>
      <c r="C706" t="s">
        <v>24</v>
      </c>
      <c r="D706">
        <v>133521</v>
      </c>
      <c r="N706" t="s">
        <v>36</v>
      </c>
      <c r="O706" t="s">
        <v>39</v>
      </c>
      <c r="P706" t="s">
        <v>18</v>
      </c>
      <c r="Q706">
        <v>24731</v>
      </c>
    </row>
    <row r="707" spans="1:17" x14ac:dyDescent="0.25">
      <c r="A707" t="s">
        <v>36</v>
      </c>
      <c r="B707" t="s">
        <v>42</v>
      </c>
      <c r="C707" t="s">
        <v>25</v>
      </c>
      <c r="D707">
        <v>97223</v>
      </c>
      <c r="N707" t="s">
        <v>36</v>
      </c>
      <c r="O707" t="s">
        <v>39</v>
      </c>
      <c r="P707" t="s">
        <v>19</v>
      </c>
      <c r="Q707">
        <v>25579</v>
      </c>
    </row>
    <row r="708" spans="1:17" x14ac:dyDescent="0.25">
      <c r="A708" t="s">
        <v>36</v>
      </c>
      <c r="B708" t="s">
        <v>42</v>
      </c>
      <c r="C708" t="s">
        <v>26</v>
      </c>
      <c r="D708">
        <v>78174</v>
      </c>
      <c r="N708" t="s">
        <v>36</v>
      </c>
      <c r="O708" t="s">
        <v>39</v>
      </c>
      <c r="P708" t="s">
        <v>20</v>
      </c>
      <c r="Q708">
        <v>27107</v>
      </c>
    </row>
    <row r="709" spans="1:17" x14ac:dyDescent="0.25">
      <c r="A709" t="s">
        <v>36</v>
      </c>
      <c r="B709" t="s">
        <v>42</v>
      </c>
      <c r="C709" t="s">
        <v>27</v>
      </c>
      <c r="D709">
        <v>50998</v>
      </c>
      <c r="N709" t="s">
        <v>36</v>
      </c>
      <c r="O709" t="s">
        <v>39</v>
      </c>
      <c r="P709" t="s">
        <v>21</v>
      </c>
      <c r="Q709">
        <v>30071</v>
      </c>
    </row>
    <row r="710" spans="1:17" x14ac:dyDescent="0.25">
      <c r="A710" t="s">
        <v>16</v>
      </c>
      <c r="B710" t="s">
        <v>17</v>
      </c>
      <c r="C710" t="s">
        <v>43</v>
      </c>
      <c r="D710">
        <v>607163</v>
      </c>
      <c r="N710" t="s">
        <v>36</v>
      </c>
      <c r="O710" t="s">
        <v>39</v>
      </c>
      <c r="P710" t="s">
        <v>22</v>
      </c>
      <c r="Q710">
        <v>29974</v>
      </c>
    </row>
    <row r="711" spans="1:17" x14ac:dyDescent="0.25">
      <c r="A711" t="s">
        <v>28</v>
      </c>
      <c r="B711" t="s">
        <v>17</v>
      </c>
      <c r="C711" t="s">
        <v>43</v>
      </c>
      <c r="D711">
        <v>66581</v>
      </c>
      <c r="N711" t="s">
        <v>36</v>
      </c>
      <c r="O711" t="s">
        <v>39</v>
      </c>
      <c r="P711" t="s">
        <v>23</v>
      </c>
      <c r="Q711">
        <v>29997</v>
      </c>
    </row>
    <row r="712" spans="1:17" x14ac:dyDescent="0.25">
      <c r="A712" t="s">
        <v>29</v>
      </c>
      <c r="B712" t="s">
        <v>17</v>
      </c>
      <c r="C712" t="s">
        <v>43</v>
      </c>
      <c r="D712">
        <v>36356</v>
      </c>
      <c r="N712" t="s">
        <v>36</v>
      </c>
      <c r="O712" t="s">
        <v>39</v>
      </c>
      <c r="P712" t="s">
        <v>24</v>
      </c>
      <c r="Q712">
        <v>28763</v>
      </c>
    </row>
    <row r="713" spans="1:17" x14ac:dyDescent="0.25">
      <c r="A713" t="s">
        <v>30</v>
      </c>
      <c r="B713" t="s">
        <v>17</v>
      </c>
      <c r="C713" t="s">
        <v>43</v>
      </c>
      <c r="D713">
        <v>171026</v>
      </c>
      <c r="N713" t="s">
        <v>36</v>
      </c>
      <c r="O713" t="s">
        <v>39</v>
      </c>
      <c r="P713" t="s">
        <v>25</v>
      </c>
      <c r="Q713">
        <v>29356</v>
      </c>
    </row>
    <row r="714" spans="1:17" x14ac:dyDescent="0.25">
      <c r="A714" t="s">
        <v>31</v>
      </c>
      <c r="B714" t="s">
        <v>17</v>
      </c>
      <c r="C714" t="s">
        <v>43</v>
      </c>
      <c r="D714">
        <v>103725</v>
      </c>
      <c r="N714" t="s">
        <v>36</v>
      </c>
      <c r="O714" t="s">
        <v>39</v>
      </c>
      <c r="P714" t="s">
        <v>26</v>
      </c>
      <c r="Q714">
        <v>27837</v>
      </c>
    </row>
    <row r="715" spans="1:17" x14ac:dyDescent="0.25">
      <c r="A715" t="s">
        <v>32</v>
      </c>
      <c r="B715" t="s">
        <v>17</v>
      </c>
      <c r="C715" t="s">
        <v>43</v>
      </c>
      <c r="D715">
        <v>37690</v>
      </c>
      <c r="N715" t="s">
        <v>36</v>
      </c>
      <c r="O715" t="s">
        <v>39</v>
      </c>
      <c r="P715" t="s">
        <v>27</v>
      </c>
      <c r="Q715">
        <v>24892</v>
      </c>
    </row>
    <row r="716" spans="1:17" x14ac:dyDescent="0.25">
      <c r="A716" t="s">
        <v>33</v>
      </c>
      <c r="B716" t="s">
        <v>17</v>
      </c>
      <c r="C716" t="s">
        <v>43</v>
      </c>
      <c r="D716">
        <v>36099</v>
      </c>
      <c r="N716" t="s">
        <v>36</v>
      </c>
      <c r="O716" t="s">
        <v>39</v>
      </c>
      <c r="P716" t="s">
        <v>43</v>
      </c>
      <c r="Q716">
        <v>27050</v>
      </c>
    </row>
    <row r="717" spans="1:17" x14ac:dyDescent="0.25">
      <c r="A717" t="s">
        <v>34</v>
      </c>
      <c r="B717" t="s">
        <v>17</v>
      </c>
      <c r="C717" t="s">
        <v>43</v>
      </c>
      <c r="D717">
        <v>36782</v>
      </c>
      <c r="N717" t="s">
        <v>36</v>
      </c>
      <c r="O717" t="s">
        <v>39</v>
      </c>
      <c r="P717" t="s">
        <v>44</v>
      </c>
      <c r="Q717">
        <v>28595</v>
      </c>
    </row>
    <row r="718" spans="1:17" x14ac:dyDescent="0.25">
      <c r="A718" t="s">
        <v>35</v>
      </c>
      <c r="B718" t="s">
        <v>17</v>
      </c>
      <c r="C718" t="s">
        <v>43</v>
      </c>
      <c r="D718">
        <v>16847</v>
      </c>
      <c r="N718" t="s">
        <v>36</v>
      </c>
      <c r="O718" t="s">
        <v>42</v>
      </c>
      <c r="P718" t="s">
        <v>18</v>
      </c>
      <c r="Q718">
        <v>97179</v>
      </c>
    </row>
    <row r="719" spans="1:17" x14ac:dyDescent="0.25">
      <c r="A719" t="s">
        <v>36</v>
      </c>
      <c r="B719" t="s">
        <v>17</v>
      </c>
      <c r="C719" t="s">
        <v>43</v>
      </c>
      <c r="D719">
        <v>102057</v>
      </c>
      <c r="N719" t="s">
        <v>36</v>
      </c>
      <c r="O719" t="s">
        <v>42</v>
      </c>
      <c r="P719" t="s">
        <v>19</v>
      </c>
      <c r="Q719">
        <v>100296</v>
      </c>
    </row>
    <row r="720" spans="1:17" x14ac:dyDescent="0.25">
      <c r="A720" t="s">
        <v>16</v>
      </c>
      <c r="B720" t="s">
        <v>37</v>
      </c>
      <c r="C720" t="s">
        <v>43</v>
      </c>
      <c r="D720">
        <v>52694</v>
      </c>
      <c r="N720" t="s">
        <v>36</v>
      </c>
      <c r="O720" t="s">
        <v>42</v>
      </c>
      <c r="P720" t="s">
        <v>20</v>
      </c>
      <c r="Q720">
        <v>101967</v>
      </c>
    </row>
    <row r="721" spans="1:17" x14ac:dyDescent="0.25">
      <c r="A721" t="s">
        <v>28</v>
      </c>
      <c r="B721" t="s">
        <v>37</v>
      </c>
      <c r="C721" t="s">
        <v>43</v>
      </c>
      <c r="D721">
        <v>8404</v>
      </c>
      <c r="N721" t="s">
        <v>36</v>
      </c>
      <c r="O721" t="s">
        <v>42</v>
      </c>
      <c r="P721" t="s">
        <v>21</v>
      </c>
      <c r="Q721">
        <v>105043</v>
      </c>
    </row>
    <row r="722" spans="1:17" x14ac:dyDescent="0.25">
      <c r="A722" t="s">
        <v>29</v>
      </c>
      <c r="B722" t="s">
        <v>37</v>
      </c>
      <c r="C722" t="s">
        <v>43</v>
      </c>
      <c r="D722">
        <v>3416</v>
      </c>
      <c r="N722" t="s">
        <v>36</v>
      </c>
      <c r="O722" t="s">
        <v>42</v>
      </c>
      <c r="P722" t="s">
        <v>22</v>
      </c>
      <c r="Q722">
        <v>108782</v>
      </c>
    </row>
    <row r="723" spans="1:17" x14ac:dyDescent="0.25">
      <c r="A723" t="s">
        <v>30</v>
      </c>
      <c r="B723" t="s">
        <v>37</v>
      </c>
      <c r="C723" t="s">
        <v>43</v>
      </c>
      <c r="D723">
        <v>11178</v>
      </c>
      <c r="N723" t="s">
        <v>36</v>
      </c>
      <c r="O723" t="s">
        <v>42</v>
      </c>
      <c r="P723" t="s">
        <v>23</v>
      </c>
      <c r="Q723">
        <v>123477</v>
      </c>
    </row>
    <row r="724" spans="1:17" x14ac:dyDescent="0.25">
      <c r="A724" t="s">
        <v>31</v>
      </c>
      <c r="B724" t="s">
        <v>37</v>
      </c>
      <c r="C724" t="s">
        <v>43</v>
      </c>
      <c r="D724">
        <v>9617</v>
      </c>
      <c r="N724" t="s">
        <v>36</v>
      </c>
      <c r="O724" t="s">
        <v>42</v>
      </c>
      <c r="P724" t="s">
        <v>24</v>
      </c>
      <c r="Q724">
        <v>133521</v>
      </c>
    </row>
    <row r="725" spans="1:17" x14ac:dyDescent="0.25">
      <c r="A725" t="s">
        <v>32</v>
      </c>
      <c r="B725" t="s">
        <v>37</v>
      </c>
      <c r="C725" t="s">
        <v>43</v>
      </c>
      <c r="D725">
        <v>4309</v>
      </c>
      <c r="N725" t="s">
        <v>36</v>
      </c>
      <c r="O725" t="s">
        <v>42</v>
      </c>
      <c r="P725" t="s">
        <v>25</v>
      </c>
      <c r="Q725">
        <v>97223</v>
      </c>
    </row>
    <row r="726" spans="1:17" x14ac:dyDescent="0.25">
      <c r="A726" t="s">
        <v>33</v>
      </c>
      <c r="B726" t="s">
        <v>37</v>
      </c>
      <c r="C726" t="s">
        <v>43</v>
      </c>
      <c r="D726">
        <v>3553</v>
      </c>
      <c r="N726" t="s">
        <v>36</v>
      </c>
      <c r="O726" t="s">
        <v>42</v>
      </c>
      <c r="P726" t="s">
        <v>26</v>
      </c>
      <c r="Q726">
        <v>78174</v>
      </c>
    </row>
    <row r="727" spans="1:17" x14ac:dyDescent="0.25">
      <c r="A727" t="s">
        <v>34</v>
      </c>
      <c r="B727" t="s">
        <v>37</v>
      </c>
      <c r="C727" t="s">
        <v>43</v>
      </c>
      <c r="D727">
        <v>3737</v>
      </c>
      <c r="N727" t="s">
        <v>36</v>
      </c>
      <c r="O727" t="s">
        <v>42</v>
      </c>
      <c r="P727" t="s">
        <v>27</v>
      </c>
      <c r="Q727">
        <v>50998</v>
      </c>
    </row>
    <row r="728" spans="1:17" x14ac:dyDescent="0.25">
      <c r="A728" t="s">
        <v>35</v>
      </c>
      <c r="B728" t="s">
        <v>37</v>
      </c>
      <c r="C728" t="s">
        <v>43</v>
      </c>
      <c r="D728">
        <v>1317</v>
      </c>
      <c r="N728" t="s">
        <v>36</v>
      </c>
      <c r="O728" t="s">
        <v>42</v>
      </c>
      <c r="P728" t="s">
        <v>43</v>
      </c>
      <c r="Q728">
        <v>68641</v>
      </c>
    </row>
    <row r="729" spans="1:17" x14ac:dyDescent="0.25">
      <c r="A729" t="s">
        <v>36</v>
      </c>
      <c r="B729" t="s">
        <v>37</v>
      </c>
      <c r="C729" t="s">
        <v>43</v>
      </c>
      <c r="D729">
        <v>7163</v>
      </c>
      <c r="N729" t="s">
        <v>36</v>
      </c>
      <c r="O729" t="s">
        <v>42</v>
      </c>
      <c r="P729" t="s">
        <v>44</v>
      </c>
      <c r="Q729">
        <v>79106</v>
      </c>
    </row>
    <row r="730" spans="1:17" x14ac:dyDescent="0.25">
      <c r="A730" t="s">
        <v>16</v>
      </c>
      <c r="B730" t="s">
        <v>38</v>
      </c>
      <c r="C730" t="s">
        <v>43</v>
      </c>
      <c r="D730">
        <v>64759</v>
      </c>
      <c r="N730" t="s">
        <v>36</v>
      </c>
      <c r="O730" t="s">
        <v>41</v>
      </c>
      <c r="P730" t="s">
        <v>18</v>
      </c>
      <c r="Q730">
        <v>120526</v>
      </c>
    </row>
    <row r="731" spans="1:17" x14ac:dyDescent="0.25">
      <c r="A731" t="s">
        <v>28</v>
      </c>
      <c r="B731" t="s">
        <v>38</v>
      </c>
      <c r="C731" t="s">
        <v>43</v>
      </c>
      <c r="D731">
        <v>5723</v>
      </c>
      <c r="N731" t="s">
        <v>36</v>
      </c>
      <c r="O731" t="s">
        <v>41</v>
      </c>
      <c r="P731" t="s">
        <v>19</v>
      </c>
      <c r="Q731">
        <v>118224</v>
      </c>
    </row>
    <row r="732" spans="1:17" x14ac:dyDescent="0.25">
      <c r="A732" t="s">
        <v>29</v>
      </c>
      <c r="B732" t="s">
        <v>38</v>
      </c>
      <c r="C732" t="s">
        <v>43</v>
      </c>
      <c r="D732">
        <v>1876</v>
      </c>
      <c r="N732" t="s">
        <v>36</v>
      </c>
      <c r="O732" t="s">
        <v>41</v>
      </c>
      <c r="P732" t="s">
        <v>20</v>
      </c>
      <c r="Q732">
        <v>119540</v>
      </c>
    </row>
    <row r="733" spans="1:17" x14ac:dyDescent="0.25">
      <c r="A733" t="s">
        <v>30</v>
      </c>
      <c r="B733" t="s">
        <v>38</v>
      </c>
      <c r="C733" t="s">
        <v>43</v>
      </c>
      <c r="D733">
        <v>26033</v>
      </c>
      <c r="N733" t="s">
        <v>36</v>
      </c>
      <c r="O733" t="s">
        <v>41</v>
      </c>
      <c r="P733" t="s">
        <v>21</v>
      </c>
      <c r="Q733">
        <v>122225</v>
      </c>
    </row>
    <row r="734" spans="1:17" x14ac:dyDescent="0.25">
      <c r="A734" t="s">
        <v>31</v>
      </c>
      <c r="B734" t="s">
        <v>38</v>
      </c>
      <c r="C734" t="s">
        <v>43</v>
      </c>
      <c r="D734">
        <v>12027</v>
      </c>
      <c r="N734" t="s">
        <v>36</v>
      </c>
      <c r="O734" t="s">
        <v>41</v>
      </c>
      <c r="P734" t="s">
        <v>22</v>
      </c>
      <c r="Q734">
        <v>116510</v>
      </c>
    </row>
    <row r="735" spans="1:17" x14ac:dyDescent="0.25">
      <c r="A735" t="s">
        <v>32</v>
      </c>
      <c r="B735" t="s">
        <v>38</v>
      </c>
      <c r="C735" t="s">
        <v>43</v>
      </c>
      <c r="D735">
        <v>3548</v>
      </c>
      <c r="N735" t="s">
        <v>36</v>
      </c>
      <c r="O735" t="s">
        <v>41</v>
      </c>
      <c r="P735" t="s">
        <v>23</v>
      </c>
      <c r="Q735">
        <v>112239</v>
      </c>
    </row>
    <row r="736" spans="1:17" x14ac:dyDescent="0.25">
      <c r="A736" t="s">
        <v>33</v>
      </c>
      <c r="B736" t="s">
        <v>38</v>
      </c>
      <c r="C736" t="s">
        <v>43</v>
      </c>
      <c r="D736">
        <v>5151</v>
      </c>
      <c r="N736" t="s">
        <v>36</v>
      </c>
      <c r="O736" t="s">
        <v>41</v>
      </c>
      <c r="P736" t="s">
        <v>24</v>
      </c>
      <c r="Q736">
        <v>105822</v>
      </c>
    </row>
    <row r="737" spans="1:17" x14ac:dyDescent="0.25">
      <c r="A737" t="s">
        <v>34</v>
      </c>
      <c r="B737" t="s">
        <v>38</v>
      </c>
      <c r="C737" t="s">
        <v>43</v>
      </c>
      <c r="D737">
        <v>3071</v>
      </c>
      <c r="N737" t="s">
        <v>36</v>
      </c>
      <c r="O737" t="s">
        <v>41</v>
      </c>
      <c r="P737" t="s">
        <v>25</v>
      </c>
      <c r="Q737">
        <v>103847</v>
      </c>
    </row>
    <row r="738" spans="1:17" x14ac:dyDescent="0.25">
      <c r="A738" t="s">
        <v>35</v>
      </c>
      <c r="B738" t="s">
        <v>38</v>
      </c>
      <c r="C738" t="s">
        <v>43</v>
      </c>
      <c r="D738">
        <v>377</v>
      </c>
      <c r="N738" t="s">
        <v>36</v>
      </c>
      <c r="O738" t="s">
        <v>41</v>
      </c>
      <c r="P738" t="s">
        <v>26</v>
      </c>
      <c r="Q738">
        <v>94591</v>
      </c>
    </row>
    <row r="739" spans="1:17" x14ac:dyDescent="0.25">
      <c r="A739" t="s">
        <v>36</v>
      </c>
      <c r="B739" t="s">
        <v>38</v>
      </c>
      <c r="C739" t="s">
        <v>43</v>
      </c>
      <c r="D739">
        <v>6953</v>
      </c>
      <c r="N739" t="s">
        <v>36</v>
      </c>
      <c r="O739" t="s">
        <v>41</v>
      </c>
      <c r="P739" t="s">
        <v>27</v>
      </c>
      <c r="Q739">
        <v>73600</v>
      </c>
    </row>
    <row r="740" spans="1:17" x14ac:dyDescent="0.25">
      <c r="A740" t="s">
        <v>16</v>
      </c>
      <c r="B740" t="s">
        <v>39</v>
      </c>
      <c r="C740" t="s">
        <v>43</v>
      </c>
      <c r="D740">
        <v>117505</v>
      </c>
      <c r="N740" t="s">
        <v>36</v>
      </c>
      <c r="O740" t="s">
        <v>41</v>
      </c>
      <c r="P740" t="s">
        <v>43</v>
      </c>
      <c r="Q740">
        <v>84962</v>
      </c>
    </row>
    <row r="741" spans="1:17" x14ac:dyDescent="0.25">
      <c r="A741" t="s">
        <v>28</v>
      </c>
      <c r="B741" t="s">
        <v>39</v>
      </c>
      <c r="C741" t="s">
        <v>43</v>
      </c>
      <c r="D741">
        <v>13166</v>
      </c>
      <c r="N741" t="s">
        <v>36</v>
      </c>
      <c r="O741" t="s">
        <v>41</v>
      </c>
      <c r="P741" t="s">
        <v>44</v>
      </c>
      <c r="Q741">
        <v>96174</v>
      </c>
    </row>
    <row r="742" spans="1:17" x14ac:dyDescent="0.25">
      <c r="A742" t="s">
        <v>29</v>
      </c>
      <c r="B742" t="s">
        <v>39</v>
      </c>
      <c r="C742" t="s">
        <v>43</v>
      </c>
      <c r="D742">
        <v>6806</v>
      </c>
      <c r="N742" t="s">
        <v>36</v>
      </c>
      <c r="O742" t="s">
        <v>40</v>
      </c>
      <c r="P742" t="s">
        <v>18</v>
      </c>
      <c r="Q742">
        <v>104013</v>
      </c>
    </row>
    <row r="743" spans="1:17" x14ac:dyDescent="0.25">
      <c r="A743" t="s">
        <v>30</v>
      </c>
      <c r="B743" t="s">
        <v>39</v>
      </c>
      <c r="C743" t="s">
        <v>43</v>
      </c>
      <c r="D743">
        <v>29399</v>
      </c>
      <c r="N743" t="s">
        <v>36</v>
      </c>
      <c r="O743" t="s">
        <v>40</v>
      </c>
      <c r="P743" t="s">
        <v>19</v>
      </c>
      <c r="Q743">
        <v>114122</v>
      </c>
    </row>
    <row r="744" spans="1:17" x14ac:dyDescent="0.25">
      <c r="A744" t="s">
        <v>31</v>
      </c>
      <c r="B744" t="s">
        <v>39</v>
      </c>
      <c r="C744" t="s">
        <v>43</v>
      </c>
      <c r="D744">
        <v>16512</v>
      </c>
      <c r="N744" t="s">
        <v>36</v>
      </c>
      <c r="O744" t="s">
        <v>40</v>
      </c>
      <c r="P744" t="s">
        <v>20</v>
      </c>
      <c r="Q744">
        <v>116773</v>
      </c>
    </row>
    <row r="745" spans="1:17" x14ac:dyDescent="0.25">
      <c r="A745" t="s">
        <v>32</v>
      </c>
      <c r="B745" t="s">
        <v>39</v>
      </c>
      <c r="C745" t="s">
        <v>43</v>
      </c>
      <c r="D745">
        <v>7768</v>
      </c>
      <c r="N745" t="s">
        <v>36</v>
      </c>
      <c r="O745" t="s">
        <v>40</v>
      </c>
      <c r="P745" t="s">
        <v>21</v>
      </c>
      <c r="Q745">
        <v>113472</v>
      </c>
    </row>
    <row r="746" spans="1:17" x14ac:dyDescent="0.25">
      <c r="A746" t="s">
        <v>33</v>
      </c>
      <c r="B746" t="s">
        <v>39</v>
      </c>
      <c r="C746" t="s">
        <v>43</v>
      </c>
      <c r="D746">
        <v>6272</v>
      </c>
      <c r="N746" t="s">
        <v>36</v>
      </c>
      <c r="O746" t="s">
        <v>40</v>
      </c>
      <c r="P746" t="s">
        <v>22</v>
      </c>
      <c r="Q746">
        <v>111610</v>
      </c>
    </row>
    <row r="747" spans="1:17" x14ac:dyDescent="0.25">
      <c r="A747" t="s">
        <v>34</v>
      </c>
      <c r="B747" t="s">
        <v>39</v>
      </c>
      <c r="C747" t="s">
        <v>43</v>
      </c>
      <c r="D747">
        <v>6739</v>
      </c>
      <c r="N747" t="s">
        <v>36</v>
      </c>
      <c r="O747" t="s">
        <v>40</v>
      </c>
      <c r="P747" t="s">
        <v>23</v>
      </c>
      <c r="Q747">
        <v>104754</v>
      </c>
    </row>
    <row r="748" spans="1:17" x14ac:dyDescent="0.25">
      <c r="A748" t="s">
        <v>35</v>
      </c>
      <c r="B748" t="s">
        <v>39</v>
      </c>
      <c r="C748" t="s">
        <v>43</v>
      </c>
      <c r="D748">
        <v>3793</v>
      </c>
      <c r="N748" t="s">
        <v>36</v>
      </c>
      <c r="O748" t="s">
        <v>40</v>
      </c>
      <c r="P748" t="s">
        <v>24</v>
      </c>
      <c r="Q748">
        <v>97630</v>
      </c>
    </row>
    <row r="749" spans="1:17" x14ac:dyDescent="0.25">
      <c r="A749" t="s">
        <v>36</v>
      </c>
      <c r="B749" t="s">
        <v>39</v>
      </c>
      <c r="C749" t="s">
        <v>43</v>
      </c>
      <c r="D749">
        <v>27050</v>
      </c>
      <c r="N749" t="s">
        <v>36</v>
      </c>
      <c r="O749" t="s">
        <v>40</v>
      </c>
      <c r="P749" t="s">
        <v>25</v>
      </c>
      <c r="Q749">
        <v>92015</v>
      </c>
    </row>
    <row r="750" spans="1:17" x14ac:dyDescent="0.25">
      <c r="A750" t="s">
        <v>16</v>
      </c>
      <c r="B750" t="s">
        <v>40</v>
      </c>
      <c r="C750" t="s">
        <v>43</v>
      </c>
      <c r="D750">
        <v>362274</v>
      </c>
      <c r="N750" t="s">
        <v>36</v>
      </c>
      <c r="O750" t="s">
        <v>40</v>
      </c>
      <c r="P750" t="s">
        <v>26</v>
      </c>
      <c r="Q750">
        <v>86337</v>
      </c>
    </row>
    <row r="751" spans="1:17" x14ac:dyDescent="0.25">
      <c r="A751" t="s">
        <v>28</v>
      </c>
      <c r="B751" t="s">
        <v>40</v>
      </c>
      <c r="C751" t="s">
        <v>43</v>
      </c>
      <c r="D751">
        <v>40587</v>
      </c>
      <c r="N751" t="s">
        <v>36</v>
      </c>
      <c r="O751" t="s">
        <v>40</v>
      </c>
      <c r="P751" t="s">
        <v>27</v>
      </c>
      <c r="Q751">
        <v>64739</v>
      </c>
    </row>
    <row r="752" spans="1:17" x14ac:dyDescent="0.25">
      <c r="A752" t="s">
        <v>29</v>
      </c>
      <c r="B752" t="s">
        <v>40</v>
      </c>
      <c r="C752" t="s">
        <v>43</v>
      </c>
      <c r="D752">
        <v>22900</v>
      </c>
      <c r="N752" t="s">
        <v>36</v>
      </c>
      <c r="O752" t="s">
        <v>40</v>
      </c>
      <c r="P752" t="s">
        <v>43</v>
      </c>
      <c r="Q752">
        <v>61486</v>
      </c>
    </row>
    <row r="753" spans="1:17" x14ac:dyDescent="0.25">
      <c r="A753" t="s">
        <v>30</v>
      </c>
      <c r="B753" t="s">
        <v>40</v>
      </c>
      <c r="C753" t="s">
        <v>43</v>
      </c>
      <c r="D753">
        <v>91075</v>
      </c>
      <c r="N753" t="s">
        <v>36</v>
      </c>
      <c r="O753" t="s">
        <v>40</v>
      </c>
      <c r="P753" t="s">
        <v>44</v>
      </c>
      <c r="Q753">
        <v>66272</v>
      </c>
    </row>
    <row r="754" spans="1:17" x14ac:dyDescent="0.25">
      <c r="A754" t="s">
        <v>31</v>
      </c>
      <c r="B754" t="s">
        <v>40</v>
      </c>
      <c r="C754" t="s">
        <v>43</v>
      </c>
      <c r="D754">
        <v>61808</v>
      </c>
      <c r="N754" t="s">
        <v>36</v>
      </c>
      <c r="O754" t="s">
        <v>37</v>
      </c>
      <c r="P754" t="s">
        <v>18</v>
      </c>
      <c r="Q754">
        <v>8809</v>
      </c>
    </row>
    <row r="755" spans="1:17" x14ac:dyDescent="0.25">
      <c r="A755" t="s">
        <v>32</v>
      </c>
      <c r="B755" t="s">
        <v>40</v>
      </c>
      <c r="C755" t="s">
        <v>43</v>
      </c>
      <c r="D755">
        <v>23440</v>
      </c>
      <c r="N755" t="s">
        <v>36</v>
      </c>
      <c r="O755" t="s">
        <v>37</v>
      </c>
      <c r="P755" t="s">
        <v>19</v>
      </c>
      <c r="Q755">
        <v>8440</v>
      </c>
    </row>
    <row r="756" spans="1:17" x14ac:dyDescent="0.25">
      <c r="A756" t="s">
        <v>33</v>
      </c>
      <c r="B756" t="s">
        <v>40</v>
      </c>
      <c r="C756" t="s">
        <v>43</v>
      </c>
      <c r="D756">
        <v>25176</v>
      </c>
      <c r="N756" t="s">
        <v>36</v>
      </c>
      <c r="O756" t="s">
        <v>37</v>
      </c>
      <c r="P756" t="s">
        <v>20</v>
      </c>
      <c r="Q756">
        <v>7760</v>
      </c>
    </row>
    <row r="757" spans="1:17" x14ac:dyDescent="0.25">
      <c r="A757" t="s">
        <v>34</v>
      </c>
      <c r="B757" t="s">
        <v>40</v>
      </c>
      <c r="C757" t="s">
        <v>43</v>
      </c>
      <c r="D757">
        <v>25020</v>
      </c>
      <c r="N757" t="s">
        <v>36</v>
      </c>
      <c r="O757" t="s">
        <v>37</v>
      </c>
      <c r="P757" t="s">
        <v>21</v>
      </c>
      <c r="Q757">
        <v>7369</v>
      </c>
    </row>
    <row r="758" spans="1:17" x14ac:dyDescent="0.25">
      <c r="A758" t="s">
        <v>35</v>
      </c>
      <c r="B758" t="s">
        <v>40</v>
      </c>
      <c r="C758" t="s">
        <v>43</v>
      </c>
      <c r="D758">
        <v>10782</v>
      </c>
      <c r="N758" t="s">
        <v>36</v>
      </c>
      <c r="O758" t="s">
        <v>37</v>
      </c>
      <c r="P758" t="s">
        <v>22</v>
      </c>
      <c r="Q758">
        <v>7130</v>
      </c>
    </row>
    <row r="759" spans="1:17" x14ac:dyDescent="0.25">
      <c r="A759" t="s">
        <v>36</v>
      </c>
      <c r="B759" t="s">
        <v>40</v>
      </c>
      <c r="C759" t="s">
        <v>43</v>
      </c>
      <c r="D759">
        <v>61486</v>
      </c>
      <c r="N759" t="s">
        <v>36</v>
      </c>
      <c r="O759" t="s">
        <v>37</v>
      </c>
      <c r="P759" t="s">
        <v>23</v>
      </c>
      <c r="Q759">
        <v>7115</v>
      </c>
    </row>
    <row r="760" spans="1:17" x14ac:dyDescent="0.25">
      <c r="A760" t="s">
        <v>16</v>
      </c>
      <c r="B760" t="s">
        <v>41</v>
      </c>
      <c r="C760" t="s">
        <v>43</v>
      </c>
      <c r="D760">
        <v>393821</v>
      </c>
      <c r="N760" t="s">
        <v>36</v>
      </c>
      <c r="O760" t="s">
        <v>37</v>
      </c>
      <c r="P760" t="s">
        <v>24</v>
      </c>
      <c r="Q760">
        <v>7075</v>
      </c>
    </row>
    <row r="761" spans="1:17" x14ac:dyDescent="0.25">
      <c r="A761" t="s">
        <v>28</v>
      </c>
      <c r="B761" t="s">
        <v>41</v>
      </c>
      <c r="C761" t="s">
        <v>43</v>
      </c>
      <c r="D761">
        <v>36542</v>
      </c>
      <c r="N761" t="s">
        <v>36</v>
      </c>
      <c r="O761" t="s">
        <v>37</v>
      </c>
      <c r="P761" t="s">
        <v>25</v>
      </c>
      <c r="Q761">
        <v>7043</v>
      </c>
    </row>
    <row r="762" spans="1:17" x14ac:dyDescent="0.25">
      <c r="A762" t="s">
        <v>29</v>
      </c>
      <c r="B762" t="s">
        <v>41</v>
      </c>
      <c r="C762" t="s">
        <v>43</v>
      </c>
      <c r="D762">
        <v>21875</v>
      </c>
      <c r="N762" t="s">
        <v>36</v>
      </c>
      <c r="O762" t="s">
        <v>37</v>
      </c>
      <c r="P762" t="s">
        <v>26</v>
      </c>
      <c r="Q762">
        <v>7303</v>
      </c>
    </row>
    <row r="763" spans="1:17" x14ac:dyDescent="0.25">
      <c r="A763" t="s">
        <v>30</v>
      </c>
      <c r="B763" t="s">
        <v>41</v>
      </c>
      <c r="C763" t="s">
        <v>43</v>
      </c>
      <c r="D763">
        <v>115972</v>
      </c>
      <c r="N763" t="s">
        <v>36</v>
      </c>
      <c r="O763" t="s">
        <v>37</v>
      </c>
      <c r="P763" t="s">
        <v>27</v>
      </c>
      <c r="Q763">
        <v>6437</v>
      </c>
    </row>
    <row r="764" spans="1:17" x14ac:dyDescent="0.25">
      <c r="A764" t="s">
        <v>31</v>
      </c>
      <c r="B764" t="s">
        <v>41</v>
      </c>
      <c r="C764" t="s">
        <v>43</v>
      </c>
      <c r="D764">
        <v>58294</v>
      </c>
      <c r="N764" t="s">
        <v>36</v>
      </c>
      <c r="O764" t="s">
        <v>37</v>
      </c>
      <c r="P764" t="s">
        <v>43</v>
      </c>
      <c r="Q764">
        <v>7163</v>
      </c>
    </row>
    <row r="765" spans="1:17" x14ac:dyDescent="0.25">
      <c r="A765" t="s">
        <v>32</v>
      </c>
      <c r="B765" t="s">
        <v>41</v>
      </c>
      <c r="C765" t="s">
        <v>43</v>
      </c>
      <c r="D765">
        <v>22673</v>
      </c>
      <c r="N765" t="s">
        <v>36</v>
      </c>
      <c r="O765" t="s">
        <v>37</v>
      </c>
      <c r="P765" t="s">
        <v>44</v>
      </c>
      <c r="Q765">
        <v>7310</v>
      </c>
    </row>
    <row r="766" spans="1:17" x14ac:dyDescent="0.25">
      <c r="A766" t="s">
        <v>33</v>
      </c>
      <c r="B766" t="s">
        <v>41</v>
      </c>
      <c r="C766" t="s">
        <v>43</v>
      </c>
      <c r="D766">
        <v>21914</v>
      </c>
    </row>
    <row r="767" spans="1:17" x14ac:dyDescent="0.25">
      <c r="A767" t="s">
        <v>34</v>
      </c>
      <c r="B767" t="s">
        <v>41</v>
      </c>
      <c r="C767" t="s">
        <v>43</v>
      </c>
      <c r="D767">
        <v>21647</v>
      </c>
    </row>
    <row r="768" spans="1:17" x14ac:dyDescent="0.25">
      <c r="A768" t="s">
        <v>35</v>
      </c>
      <c r="B768" t="s">
        <v>41</v>
      </c>
      <c r="C768" t="s">
        <v>43</v>
      </c>
      <c r="D768">
        <v>9942</v>
      </c>
    </row>
    <row r="769" spans="1:4" x14ac:dyDescent="0.25">
      <c r="A769" t="s">
        <v>36</v>
      </c>
      <c r="B769" t="s">
        <v>41</v>
      </c>
      <c r="C769" t="s">
        <v>43</v>
      </c>
      <c r="D769">
        <v>84962</v>
      </c>
    </row>
    <row r="770" spans="1:4" x14ac:dyDescent="0.25">
      <c r="A770" t="s">
        <v>16</v>
      </c>
      <c r="B770" t="s">
        <v>42</v>
      </c>
      <c r="C770" t="s">
        <v>43</v>
      </c>
      <c r="D770">
        <v>204990</v>
      </c>
    </row>
    <row r="771" spans="1:4" x14ac:dyDescent="0.25">
      <c r="A771" s="5" t="s">
        <v>28</v>
      </c>
      <c r="B771" s="5" t="s">
        <v>42</v>
      </c>
      <c r="C771" s="5" t="s">
        <v>43</v>
      </c>
      <c r="D771" s="5">
        <v>204990</v>
      </c>
    </row>
    <row r="772" spans="1:4" x14ac:dyDescent="0.25">
      <c r="A772" t="s">
        <v>29</v>
      </c>
      <c r="B772" t="s">
        <v>42</v>
      </c>
      <c r="C772" t="s">
        <v>43</v>
      </c>
      <c r="D772">
        <v>7759</v>
      </c>
    </row>
    <row r="773" spans="1:4" x14ac:dyDescent="0.25">
      <c r="A773" t="s">
        <v>30</v>
      </c>
      <c r="B773" t="s">
        <v>42</v>
      </c>
      <c r="C773" t="s">
        <v>43</v>
      </c>
      <c r="D773">
        <v>52608</v>
      </c>
    </row>
    <row r="774" spans="1:4" x14ac:dyDescent="0.25">
      <c r="A774" t="s">
        <v>31</v>
      </c>
      <c r="B774" t="s">
        <v>42</v>
      </c>
      <c r="C774" t="s">
        <v>43</v>
      </c>
      <c r="D774">
        <v>30794</v>
      </c>
    </row>
    <row r="775" spans="1:4" x14ac:dyDescent="0.25">
      <c r="A775" t="s">
        <v>32</v>
      </c>
      <c r="B775" t="s">
        <v>42</v>
      </c>
      <c r="C775" t="s">
        <v>43</v>
      </c>
      <c r="D775">
        <v>11751</v>
      </c>
    </row>
    <row r="776" spans="1:4" x14ac:dyDescent="0.25">
      <c r="A776" t="s">
        <v>33</v>
      </c>
      <c r="B776" t="s">
        <v>42</v>
      </c>
      <c r="C776" t="s">
        <v>43</v>
      </c>
      <c r="D776">
        <v>7667</v>
      </c>
    </row>
    <row r="777" spans="1:4" x14ac:dyDescent="0.25">
      <c r="A777" t="s">
        <v>34</v>
      </c>
      <c r="B777" t="s">
        <v>42</v>
      </c>
      <c r="C777" t="s">
        <v>43</v>
      </c>
      <c r="D777">
        <v>8494</v>
      </c>
    </row>
    <row r="778" spans="1:4" x14ac:dyDescent="0.25">
      <c r="A778" t="s">
        <v>35</v>
      </c>
      <c r="B778" t="s">
        <v>42</v>
      </c>
      <c r="C778" t="s">
        <v>43</v>
      </c>
      <c r="D778">
        <v>2487</v>
      </c>
    </row>
    <row r="779" spans="1:4" x14ac:dyDescent="0.25">
      <c r="A779" t="s">
        <v>36</v>
      </c>
      <c r="B779" t="s">
        <v>42</v>
      </c>
      <c r="C779" t="s">
        <v>43</v>
      </c>
      <c r="D779">
        <v>68641</v>
      </c>
    </row>
    <row r="780" spans="1:4" x14ac:dyDescent="0.25">
      <c r="A780" t="s">
        <v>16</v>
      </c>
      <c r="B780" t="s">
        <v>17</v>
      </c>
      <c r="C780" t="s">
        <v>44</v>
      </c>
      <c r="D780">
        <v>653659</v>
      </c>
    </row>
    <row r="781" spans="1:4" x14ac:dyDescent="0.25">
      <c r="A781" t="s">
        <v>16</v>
      </c>
      <c r="B781" t="s">
        <v>37</v>
      </c>
      <c r="C781" t="s">
        <v>44</v>
      </c>
      <c r="D781">
        <v>53888</v>
      </c>
    </row>
    <row r="782" spans="1:4" x14ac:dyDescent="0.25">
      <c r="A782" t="s">
        <v>16</v>
      </c>
      <c r="B782" t="s">
        <v>38</v>
      </c>
      <c r="C782" t="s">
        <v>44</v>
      </c>
      <c r="D782">
        <v>68015</v>
      </c>
    </row>
    <row r="783" spans="1:4" x14ac:dyDescent="0.25">
      <c r="A783" t="s">
        <v>16</v>
      </c>
      <c r="B783" t="s">
        <v>39</v>
      </c>
      <c r="C783" t="s">
        <v>44</v>
      </c>
      <c r="D783">
        <v>118816</v>
      </c>
    </row>
    <row r="784" spans="1:4" x14ac:dyDescent="0.25">
      <c r="A784" t="s">
        <v>16</v>
      </c>
      <c r="B784" t="s">
        <v>40</v>
      </c>
      <c r="C784" t="s">
        <v>44</v>
      </c>
      <c r="D784">
        <v>377690</v>
      </c>
    </row>
    <row r="785" spans="1:4" x14ac:dyDescent="0.25">
      <c r="A785" t="s">
        <v>16</v>
      </c>
      <c r="B785" t="s">
        <v>41</v>
      </c>
      <c r="C785" t="s">
        <v>44</v>
      </c>
      <c r="D785">
        <v>437038</v>
      </c>
    </row>
    <row r="786" spans="1:4" x14ac:dyDescent="0.25">
      <c r="A786" t="s">
        <v>16</v>
      </c>
      <c r="B786" t="s">
        <v>42</v>
      </c>
      <c r="C786" t="s">
        <v>44</v>
      </c>
      <c r="D786">
        <v>228983</v>
      </c>
    </row>
    <row r="787" spans="1:4" x14ac:dyDescent="0.25">
      <c r="A787" t="s">
        <v>28</v>
      </c>
      <c r="B787" t="s">
        <v>17</v>
      </c>
      <c r="C787" t="s">
        <v>44</v>
      </c>
      <c r="D787">
        <v>71191</v>
      </c>
    </row>
    <row r="788" spans="1:4" x14ac:dyDescent="0.25">
      <c r="A788" t="s">
        <v>28</v>
      </c>
      <c r="B788" t="s">
        <v>37</v>
      </c>
      <c r="C788" t="s">
        <v>44</v>
      </c>
      <c r="D788">
        <v>8361</v>
      </c>
    </row>
    <row r="789" spans="1:4" x14ac:dyDescent="0.25">
      <c r="A789" t="s">
        <v>28</v>
      </c>
      <c r="B789" t="s">
        <v>38</v>
      </c>
      <c r="C789" t="s">
        <v>44</v>
      </c>
      <c r="D789">
        <v>6433</v>
      </c>
    </row>
    <row r="790" spans="1:4" x14ac:dyDescent="0.25">
      <c r="A790" t="s">
        <v>28</v>
      </c>
      <c r="B790" t="s">
        <v>39</v>
      </c>
      <c r="C790" t="s">
        <v>44</v>
      </c>
      <c r="D790">
        <v>13459</v>
      </c>
    </row>
    <row r="791" spans="1:4" x14ac:dyDescent="0.25">
      <c r="A791" t="s">
        <v>28</v>
      </c>
      <c r="B791" t="s">
        <v>40</v>
      </c>
      <c r="C791" t="s">
        <v>44</v>
      </c>
      <c r="D791">
        <v>43066</v>
      </c>
    </row>
    <row r="792" spans="1:4" x14ac:dyDescent="0.25">
      <c r="A792" t="s">
        <v>28</v>
      </c>
      <c r="B792" t="s">
        <v>41</v>
      </c>
      <c r="C792" t="s">
        <v>44</v>
      </c>
      <c r="D792">
        <v>39447</v>
      </c>
    </row>
    <row r="793" spans="1:4" x14ac:dyDescent="0.25">
      <c r="A793" t="s">
        <v>28</v>
      </c>
      <c r="B793" t="s">
        <v>42</v>
      </c>
      <c r="C793" t="s">
        <v>44</v>
      </c>
      <c r="D793">
        <v>16184</v>
      </c>
    </row>
    <row r="794" spans="1:4" x14ac:dyDescent="0.25">
      <c r="A794" t="s">
        <v>29</v>
      </c>
      <c r="B794" t="s">
        <v>17</v>
      </c>
      <c r="C794" t="s">
        <v>44</v>
      </c>
      <c r="D794">
        <v>39829</v>
      </c>
    </row>
    <row r="795" spans="1:4" x14ac:dyDescent="0.25">
      <c r="A795" t="s">
        <v>29</v>
      </c>
      <c r="B795" t="s">
        <v>37</v>
      </c>
      <c r="C795" t="s">
        <v>44</v>
      </c>
      <c r="D795">
        <v>3442</v>
      </c>
    </row>
    <row r="796" spans="1:4" x14ac:dyDescent="0.25">
      <c r="A796" t="s">
        <v>29</v>
      </c>
      <c r="B796" t="s">
        <v>38</v>
      </c>
      <c r="C796" t="s">
        <v>44</v>
      </c>
      <c r="D796">
        <v>1838</v>
      </c>
    </row>
    <row r="797" spans="1:4" x14ac:dyDescent="0.25">
      <c r="A797" t="s">
        <v>29</v>
      </c>
      <c r="B797" t="s">
        <v>39</v>
      </c>
      <c r="C797" t="s">
        <v>44</v>
      </c>
      <c r="D797">
        <v>7123</v>
      </c>
    </row>
    <row r="798" spans="1:4" x14ac:dyDescent="0.25">
      <c r="A798" t="s">
        <v>29</v>
      </c>
      <c r="B798" t="s">
        <v>40</v>
      </c>
      <c r="C798" t="s">
        <v>44</v>
      </c>
      <c r="D798">
        <v>24768</v>
      </c>
    </row>
    <row r="799" spans="1:4" x14ac:dyDescent="0.25">
      <c r="A799" t="s">
        <v>29</v>
      </c>
      <c r="B799" t="s">
        <v>41</v>
      </c>
      <c r="C799" t="s">
        <v>44</v>
      </c>
      <c r="D799">
        <v>23735</v>
      </c>
    </row>
    <row r="800" spans="1:4" x14ac:dyDescent="0.25">
      <c r="A800" t="s">
        <v>29</v>
      </c>
      <c r="B800" t="s">
        <v>42</v>
      </c>
      <c r="C800" t="s">
        <v>44</v>
      </c>
      <c r="D800">
        <v>9816</v>
      </c>
    </row>
    <row r="801" spans="1:4" x14ac:dyDescent="0.25">
      <c r="A801" t="s">
        <v>30</v>
      </c>
      <c r="B801" t="s">
        <v>17</v>
      </c>
      <c r="C801" t="s">
        <v>44</v>
      </c>
      <c r="D801">
        <v>181837</v>
      </c>
    </row>
    <row r="802" spans="1:4" x14ac:dyDescent="0.25">
      <c r="A802" t="s">
        <v>30</v>
      </c>
      <c r="B802" t="s">
        <v>37</v>
      </c>
      <c r="C802" t="s">
        <v>44</v>
      </c>
      <c r="D802">
        <v>11160</v>
      </c>
    </row>
    <row r="803" spans="1:4" x14ac:dyDescent="0.25">
      <c r="A803" t="s">
        <v>30</v>
      </c>
      <c r="B803" t="s">
        <v>38</v>
      </c>
      <c r="C803" t="s">
        <v>44</v>
      </c>
      <c r="D803">
        <v>26599</v>
      </c>
    </row>
    <row r="804" spans="1:4" x14ac:dyDescent="0.25">
      <c r="A804" t="s">
        <v>30</v>
      </c>
      <c r="B804" t="s">
        <v>39</v>
      </c>
      <c r="C804" t="s">
        <v>44</v>
      </c>
      <c r="D804">
        <v>29252</v>
      </c>
    </row>
    <row r="805" spans="1:4" x14ac:dyDescent="0.25">
      <c r="A805" t="s">
        <v>30</v>
      </c>
      <c r="B805" t="s">
        <v>40</v>
      </c>
      <c r="C805" t="s">
        <v>44</v>
      </c>
      <c r="D805">
        <v>94057</v>
      </c>
    </row>
    <row r="806" spans="1:4" x14ac:dyDescent="0.25">
      <c r="A806" t="s">
        <v>30</v>
      </c>
      <c r="B806" t="s">
        <v>41</v>
      </c>
      <c r="C806" t="s">
        <v>44</v>
      </c>
      <c r="D806">
        <v>128695</v>
      </c>
    </row>
    <row r="807" spans="1:4" x14ac:dyDescent="0.25">
      <c r="A807" t="s">
        <v>30</v>
      </c>
      <c r="B807" t="s">
        <v>42</v>
      </c>
      <c r="C807" t="s">
        <v>44</v>
      </c>
      <c r="D807">
        <v>59348</v>
      </c>
    </row>
    <row r="808" spans="1:4" x14ac:dyDescent="0.25">
      <c r="A808" t="s">
        <v>31</v>
      </c>
      <c r="B808" t="s">
        <v>17</v>
      </c>
      <c r="C808" t="s">
        <v>44</v>
      </c>
      <c r="D808">
        <v>109916</v>
      </c>
    </row>
    <row r="809" spans="1:4" x14ac:dyDescent="0.25">
      <c r="A809" t="s">
        <v>31</v>
      </c>
      <c r="B809" t="s">
        <v>37</v>
      </c>
      <c r="C809" t="s">
        <v>44</v>
      </c>
      <c r="D809">
        <v>10160</v>
      </c>
    </row>
    <row r="810" spans="1:4" x14ac:dyDescent="0.25">
      <c r="A810" t="s">
        <v>31</v>
      </c>
      <c r="B810" t="s">
        <v>38</v>
      </c>
      <c r="C810" t="s">
        <v>44</v>
      </c>
      <c r="D810">
        <v>13372</v>
      </c>
    </row>
    <row r="811" spans="1:4" x14ac:dyDescent="0.25">
      <c r="A811" t="s">
        <v>31</v>
      </c>
      <c r="B811" t="s">
        <v>39</v>
      </c>
      <c r="C811" t="s">
        <v>44</v>
      </c>
      <c r="D811">
        <v>14749</v>
      </c>
    </row>
    <row r="812" spans="1:4" x14ac:dyDescent="0.25">
      <c r="A812" t="s">
        <v>31</v>
      </c>
      <c r="B812" t="s">
        <v>40</v>
      </c>
      <c r="C812" t="s">
        <v>44</v>
      </c>
      <c r="D812">
        <v>59887</v>
      </c>
    </row>
    <row r="813" spans="1:4" x14ac:dyDescent="0.25">
      <c r="A813" t="s">
        <v>31</v>
      </c>
      <c r="B813" t="s">
        <v>41</v>
      </c>
      <c r="C813" t="s">
        <v>44</v>
      </c>
      <c r="D813">
        <v>63665</v>
      </c>
    </row>
    <row r="814" spans="1:4" x14ac:dyDescent="0.25">
      <c r="A814" t="s">
        <v>31</v>
      </c>
      <c r="B814" t="s">
        <v>42</v>
      </c>
      <c r="C814" t="s">
        <v>44</v>
      </c>
      <c r="D814">
        <v>32189</v>
      </c>
    </row>
    <row r="815" spans="1:4" x14ac:dyDescent="0.25">
      <c r="A815" t="s">
        <v>32</v>
      </c>
      <c r="B815" t="s">
        <v>17</v>
      </c>
      <c r="C815" t="s">
        <v>44</v>
      </c>
      <c r="D815">
        <v>42142</v>
      </c>
    </row>
    <row r="816" spans="1:4" x14ac:dyDescent="0.25">
      <c r="A816" t="s">
        <v>32</v>
      </c>
      <c r="B816" t="s">
        <v>37</v>
      </c>
      <c r="C816" t="s">
        <v>44</v>
      </c>
      <c r="D816">
        <v>4715</v>
      </c>
    </row>
    <row r="817" spans="1:4" x14ac:dyDescent="0.25">
      <c r="A817" t="s">
        <v>32</v>
      </c>
      <c r="B817" t="s">
        <v>38</v>
      </c>
      <c r="C817" t="s">
        <v>44</v>
      </c>
      <c r="D817">
        <v>3931</v>
      </c>
    </row>
    <row r="818" spans="1:4" x14ac:dyDescent="0.25">
      <c r="A818" t="s">
        <v>32</v>
      </c>
      <c r="B818" t="s">
        <v>39</v>
      </c>
      <c r="C818" t="s">
        <v>44</v>
      </c>
      <c r="D818">
        <v>8171</v>
      </c>
    </row>
    <row r="819" spans="1:4" x14ac:dyDescent="0.25">
      <c r="A819" t="s">
        <v>32</v>
      </c>
      <c r="B819" t="s">
        <v>40</v>
      </c>
      <c r="C819" t="s">
        <v>44</v>
      </c>
      <c r="D819">
        <v>24614</v>
      </c>
    </row>
    <row r="820" spans="1:4" x14ac:dyDescent="0.25">
      <c r="A820" t="s">
        <v>32</v>
      </c>
      <c r="B820" t="s">
        <v>41</v>
      </c>
      <c r="C820" t="s">
        <v>44</v>
      </c>
      <c r="D820">
        <v>26767</v>
      </c>
    </row>
    <row r="821" spans="1:4" x14ac:dyDescent="0.25">
      <c r="A821" t="s">
        <v>32</v>
      </c>
      <c r="B821" t="s">
        <v>42</v>
      </c>
      <c r="C821" t="s">
        <v>44</v>
      </c>
      <c r="D821">
        <v>11967</v>
      </c>
    </row>
    <row r="822" spans="1:4" x14ac:dyDescent="0.25">
      <c r="A822" t="s">
        <v>33</v>
      </c>
      <c r="B822" t="s">
        <v>17</v>
      </c>
      <c r="C822" t="s">
        <v>44</v>
      </c>
      <c r="D822">
        <v>36565</v>
      </c>
    </row>
    <row r="823" spans="1:4" x14ac:dyDescent="0.25">
      <c r="A823" t="s">
        <v>33</v>
      </c>
      <c r="B823" t="s">
        <v>37</v>
      </c>
      <c r="C823" t="s">
        <v>44</v>
      </c>
      <c r="D823">
        <v>3321</v>
      </c>
    </row>
    <row r="824" spans="1:4" x14ac:dyDescent="0.25">
      <c r="A824" t="s">
        <v>33</v>
      </c>
      <c r="B824" t="s">
        <v>38</v>
      </c>
      <c r="C824" t="s">
        <v>44</v>
      </c>
      <c r="D824">
        <v>5052</v>
      </c>
    </row>
    <row r="825" spans="1:4" x14ac:dyDescent="0.25">
      <c r="A825" t="s">
        <v>33</v>
      </c>
      <c r="B825" t="s">
        <v>39</v>
      </c>
      <c r="C825" t="s">
        <v>44</v>
      </c>
      <c r="D825">
        <v>6024</v>
      </c>
    </row>
    <row r="826" spans="1:4" x14ac:dyDescent="0.25">
      <c r="A826" t="s">
        <v>33</v>
      </c>
      <c r="B826" t="s">
        <v>40</v>
      </c>
      <c r="C826" t="s">
        <v>44</v>
      </c>
      <c r="D826">
        <v>26434</v>
      </c>
    </row>
    <row r="827" spans="1:4" x14ac:dyDescent="0.25">
      <c r="A827" t="s">
        <v>33</v>
      </c>
      <c r="B827" t="s">
        <v>41</v>
      </c>
      <c r="C827" t="s">
        <v>44</v>
      </c>
      <c r="D827">
        <v>22758</v>
      </c>
    </row>
    <row r="828" spans="1:4" x14ac:dyDescent="0.25">
      <c r="A828" t="s">
        <v>33</v>
      </c>
      <c r="B828" t="s">
        <v>42</v>
      </c>
      <c r="C828" t="s">
        <v>44</v>
      </c>
      <c r="D828">
        <v>7262</v>
      </c>
    </row>
    <row r="829" spans="1:4" x14ac:dyDescent="0.25">
      <c r="A829" t="s">
        <v>34</v>
      </c>
      <c r="B829" t="s">
        <v>17</v>
      </c>
      <c r="C829" t="s">
        <v>44</v>
      </c>
      <c r="D829">
        <v>40642</v>
      </c>
    </row>
    <row r="830" spans="1:4" x14ac:dyDescent="0.25">
      <c r="A830" t="s">
        <v>34</v>
      </c>
      <c r="B830" t="s">
        <v>37</v>
      </c>
      <c r="C830" t="s">
        <v>44</v>
      </c>
      <c r="D830">
        <v>3888</v>
      </c>
    </row>
    <row r="831" spans="1:4" x14ac:dyDescent="0.25">
      <c r="A831" t="s">
        <v>34</v>
      </c>
      <c r="B831" t="s">
        <v>38</v>
      </c>
      <c r="C831" t="s">
        <v>44</v>
      </c>
      <c r="D831">
        <v>3170</v>
      </c>
    </row>
    <row r="832" spans="1:4" x14ac:dyDescent="0.25">
      <c r="A832" t="s">
        <v>34</v>
      </c>
      <c r="B832" t="s">
        <v>39</v>
      </c>
      <c r="C832" t="s">
        <v>44</v>
      </c>
      <c r="D832">
        <v>7171</v>
      </c>
    </row>
    <row r="833" spans="1:4" x14ac:dyDescent="0.25">
      <c r="A833" t="s">
        <v>34</v>
      </c>
      <c r="B833" t="s">
        <v>40</v>
      </c>
      <c r="C833" t="s">
        <v>44</v>
      </c>
      <c r="D833">
        <v>26082</v>
      </c>
    </row>
    <row r="834" spans="1:4" x14ac:dyDescent="0.25">
      <c r="A834" t="s">
        <v>34</v>
      </c>
      <c r="B834" t="s">
        <v>41</v>
      </c>
      <c r="C834" t="s">
        <v>44</v>
      </c>
      <c r="D834">
        <v>23921</v>
      </c>
    </row>
    <row r="835" spans="1:4" x14ac:dyDescent="0.25">
      <c r="A835" t="s">
        <v>34</v>
      </c>
      <c r="B835" t="s">
        <v>42</v>
      </c>
      <c r="C835" t="s">
        <v>44</v>
      </c>
      <c r="D835">
        <v>10210</v>
      </c>
    </row>
    <row r="836" spans="1:4" x14ac:dyDescent="0.25">
      <c r="A836" t="s">
        <v>35</v>
      </c>
      <c r="B836" t="s">
        <v>17</v>
      </c>
      <c r="C836" t="s">
        <v>44</v>
      </c>
      <c r="D836">
        <v>18830</v>
      </c>
    </row>
    <row r="837" spans="1:4" x14ac:dyDescent="0.25">
      <c r="A837" t="s">
        <v>35</v>
      </c>
      <c r="B837" t="s">
        <v>37</v>
      </c>
      <c r="C837" t="s">
        <v>44</v>
      </c>
      <c r="D837">
        <v>1531</v>
      </c>
    </row>
    <row r="838" spans="1:4" x14ac:dyDescent="0.25">
      <c r="A838" t="s">
        <v>35</v>
      </c>
      <c r="B838" t="s">
        <v>38</v>
      </c>
      <c r="C838" t="s">
        <v>44</v>
      </c>
      <c r="D838">
        <v>470</v>
      </c>
    </row>
    <row r="839" spans="1:4" x14ac:dyDescent="0.25">
      <c r="A839" t="s">
        <v>35</v>
      </c>
      <c r="B839" t="s">
        <v>39</v>
      </c>
      <c r="C839" t="s">
        <v>44</v>
      </c>
      <c r="D839">
        <v>4272</v>
      </c>
    </row>
    <row r="840" spans="1:4" x14ac:dyDescent="0.25">
      <c r="A840" t="s">
        <v>35</v>
      </c>
      <c r="B840" t="s">
        <v>40</v>
      </c>
      <c r="C840" t="s">
        <v>44</v>
      </c>
      <c r="D840">
        <v>12510</v>
      </c>
    </row>
    <row r="841" spans="1:4" x14ac:dyDescent="0.25">
      <c r="A841" t="s">
        <v>35</v>
      </c>
      <c r="B841" t="s">
        <v>41</v>
      </c>
      <c r="C841" t="s">
        <v>44</v>
      </c>
      <c r="D841">
        <v>11876</v>
      </c>
    </row>
    <row r="842" spans="1:4" x14ac:dyDescent="0.25">
      <c r="A842" t="s">
        <v>35</v>
      </c>
      <c r="B842" t="s">
        <v>42</v>
      </c>
      <c r="C842" t="s">
        <v>44</v>
      </c>
      <c r="D842">
        <v>2901</v>
      </c>
    </row>
    <row r="843" spans="1:4" x14ac:dyDescent="0.25">
      <c r="A843" t="s">
        <v>36</v>
      </c>
      <c r="B843" t="s">
        <v>17</v>
      </c>
      <c r="C843" t="s">
        <v>44</v>
      </c>
      <c r="D843">
        <v>112707</v>
      </c>
    </row>
    <row r="844" spans="1:4" x14ac:dyDescent="0.25">
      <c r="A844" t="s">
        <v>36</v>
      </c>
      <c r="B844" t="s">
        <v>37</v>
      </c>
      <c r="C844" t="s">
        <v>44</v>
      </c>
      <c r="D844">
        <v>7310</v>
      </c>
    </row>
    <row r="845" spans="1:4" x14ac:dyDescent="0.25">
      <c r="A845" t="s">
        <v>36</v>
      </c>
      <c r="B845" t="s">
        <v>38</v>
      </c>
      <c r="C845" t="s">
        <v>44</v>
      </c>
      <c r="D845">
        <v>7150</v>
      </c>
    </row>
    <row r="846" spans="1:4" x14ac:dyDescent="0.25">
      <c r="A846" t="s">
        <v>36</v>
      </c>
      <c r="B846" t="s">
        <v>39</v>
      </c>
      <c r="C846" t="s">
        <v>44</v>
      </c>
      <c r="D846">
        <v>28595</v>
      </c>
    </row>
    <row r="847" spans="1:4" x14ac:dyDescent="0.25">
      <c r="A847" t="s">
        <v>36</v>
      </c>
      <c r="B847" t="s">
        <v>40</v>
      </c>
      <c r="C847" t="s">
        <v>44</v>
      </c>
      <c r="D847">
        <v>66272</v>
      </c>
    </row>
    <row r="848" spans="1:4" x14ac:dyDescent="0.25">
      <c r="A848" t="s">
        <v>36</v>
      </c>
      <c r="B848" t="s">
        <v>41</v>
      </c>
      <c r="C848" t="s">
        <v>44</v>
      </c>
      <c r="D848">
        <v>96174</v>
      </c>
    </row>
    <row r="849" spans="1:4" x14ac:dyDescent="0.25">
      <c r="A849" t="s">
        <v>36</v>
      </c>
      <c r="B849" t="s">
        <v>42</v>
      </c>
      <c r="C849" t="s">
        <v>44</v>
      </c>
      <c r="D849">
        <v>79106</v>
      </c>
    </row>
  </sheetData>
  <mergeCells count="4">
    <mergeCell ref="A6:D7"/>
    <mergeCell ref="N6:Q7"/>
    <mergeCell ref="G6:K7"/>
    <mergeCell ref="A1:Q3"/>
  </mergeCells>
  <phoneticPr fontId="3" type="noConversion"/>
  <pageMargins left="0.7" right="0.7" top="0.75" bottom="0.75" header="0.3" footer="0.3"/>
  <pageSetup paperSize="9" orientation="portrait" horizontalDpi="200" verticalDpi="200" r:id="rId1"/>
  <ignoredErrors>
    <ignoredError sqref="J56" calculatedColumn="1"/>
  </ignoredErrors>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3B622-92EE-4E14-B696-156F99082ED2}">
  <dimension ref="A1:N50"/>
  <sheetViews>
    <sheetView showGridLines="0" tabSelected="1" zoomScaleNormal="100" workbookViewId="0">
      <selection activeCell="B43" sqref="B43"/>
    </sheetView>
  </sheetViews>
  <sheetFormatPr defaultRowHeight="15" x14ac:dyDescent="0.25"/>
  <cols>
    <col min="1" max="1" width="40.140625" bestFit="1" customWidth="1"/>
    <col min="2" max="2" width="12.5703125" bestFit="1" customWidth="1"/>
    <col min="3" max="3" width="14.28515625" bestFit="1" customWidth="1"/>
    <col min="4" max="13" width="11.7109375" bestFit="1" customWidth="1"/>
    <col min="14" max="14" width="13.140625" bestFit="1" customWidth="1"/>
  </cols>
  <sheetData>
    <row r="1" spans="1:14" ht="15" customHeight="1" x14ac:dyDescent="0.25">
      <c r="A1" s="31" t="s">
        <v>60</v>
      </c>
      <c r="B1" s="31"/>
      <c r="C1" s="31"/>
      <c r="D1" s="31"/>
      <c r="E1" s="31"/>
      <c r="F1" s="31"/>
      <c r="G1" s="31"/>
      <c r="H1" s="31"/>
      <c r="I1" s="31"/>
      <c r="J1" s="31"/>
      <c r="K1" s="31"/>
      <c r="L1" s="31"/>
      <c r="M1" s="31"/>
      <c r="N1" s="31"/>
    </row>
    <row r="2" spans="1:14" ht="15" customHeight="1" x14ac:dyDescent="0.25">
      <c r="A2" s="31"/>
      <c r="B2" s="31"/>
      <c r="C2" s="31"/>
      <c r="D2" s="31"/>
      <c r="E2" s="31"/>
      <c r="F2" s="31"/>
      <c r="G2" s="31"/>
      <c r="H2" s="31"/>
      <c r="I2" s="31"/>
      <c r="J2" s="31"/>
      <c r="K2" s="31"/>
      <c r="L2" s="31"/>
      <c r="M2" s="31"/>
      <c r="N2" s="31"/>
    </row>
    <row r="3" spans="1:14" ht="15" customHeight="1" x14ac:dyDescent="0.25">
      <c r="A3" s="31"/>
      <c r="B3" s="31"/>
      <c r="C3" s="31"/>
      <c r="D3" s="31"/>
      <c r="E3" s="31"/>
      <c r="F3" s="31"/>
      <c r="G3" s="31"/>
      <c r="H3" s="31"/>
      <c r="I3" s="31"/>
      <c r="J3" s="31"/>
      <c r="K3" s="31"/>
      <c r="L3" s="31"/>
      <c r="M3" s="31"/>
      <c r="N3" s="31"/>
    </row>
    <row r="6" spans="1:14" ht="18.75" x14ac:dyDescent="0.3">
      <c r="A6" s="42" t="s">
        <v>68</v>
      </c>
      <c r="B6" s="42"/>
      <c r="C6" s="42"/>
      <c r="D6" s="42"/>
      <c r="E6" s="42"/>
      <c r="F6" s="42"/>
      <c r="G6" s="42"/>
      <c r="H6" s="42"/>
      <c r="I6" s="42"/>
      <c r="J6" s="42"/>
      <c r="K6" s="42"/>
      <c r="L6" s="42"/>
      <c r="M6" s="42"/>
      <c r="N6" s="42"/>
    </row>
    <row r="8" spans="1:14" x14ac:dyDescent="0.25">
      <c r="A8" s="22" t="s">
        <v>57</v>
      </c>
    </row>
    <row r="9" spans="1:14" x14ac:dyDescent="0.25">
      <c r="B9" s="24" t="s">
        <v>18</v>
      </c>
      <c r="C9" s="24" t="s">
        <v>19</v>
      </c>
      <c r="D9" s="24" t="s">
        <v>20</v>
      </c>
      <c r="E9" s="24" t="s">
        <v>21</v>
      </c>
      <c r="F9" s="24" t="s">
        <v>22</v>
      </c>
      <c r="G9" s="24" t="s">
        <v>23</v>
      </c>
      <c r="H9" s="24" t="s">
        <v>24</v>
      </c>
      <c r="I9" s="24" t="s">
        <v>25</v>
      </c>
      <c r="J9" s="24" t="s">
        <v>26</v>
      </c>
      <c r="K9" s="24" t="s">
        <v>27</v>
      </c>
      <c r="L9" s="24" t="s">
        <v>43</v>
      </c>
      <c r="M9" s="24" t="s">
        <v>44</v>
      </c>
      <c r="N9" s="24" t="s">
        <v>56</v>
      </c>
    </row>
    <row r="10" spans="1:14" x14ac:dyDescent="0.25">
      <c r="A10" s="23" t="s">
        <v>28</v>
      </c>
      <c r="B10" s="29">
        <v>231345</v>
      </c>
      <c r="C10" s="29">
        <v>225773</v>
      </c>
      <c r="D10" s="29">
        <v>228125</v>
      </c>
      <c r="E10" s="29">
        <v>219953</v>
      </c>
      <c r="F10" s="29">
        <v>212362</v>
      </c>
      <c r="G10" s="29">
        <v>215812</v>
      </c>
      <c r="H10" s="29">
        <v>211769</v>
      </c>
      <c r="I10" s="29">
        <v>214167</v>
      </c>
      <c r="J10" s="29">
        <v>211882</v>
      </c>
      <c r="K10" s="29">
        <v>178610</v>
      </c>
      <c r="L10" s="29">
        <v>185792</v>
      </c>
      <c r="M10" s="29">
        <v>198141</v>
      </c>
      <c r="N10" s="29">
        <v>2533731</v>
      </c>
    </row>
    <row r="11" spans="1:14" x14ac:dyDescent="0.25">
      <c r="A11" s="23" t="s">
        <v>29</v>
      </c>
      <c r="B11" s="29">
        <v>134385</v>
      </c>
      <c r="C11" s="29">
        <v>140324</v>
      </c>
      <c r="D11" s="29">
        <v>134146</v>
      </c>
      <c r="E11" s="29">
        <v>126272</v>
      </c>
      <c r="F11" s="29">
        <v>124537</v>
      </c>
      <c r="G11" s="29">
        <v>121310</v>
      </c>
      <c r="H11" s="29">
        <v>115172</v>
      </c>
      <c r="I11" s="29">
        <v>114482</v>
      </c>
      <c r="J11" s="29">
        <v>108175</v>
      </c>
      <c r="K11" s="29">
        <v>91985</v>
      </c>
      <c r="L11" s="29">
        <v>100988</v>
      </c>
      <c r="M11" s="29">
        <v>110551</v>
      </c>
      <c r="N11" s="29">
        <v>1422327</v>
      </c>
    </row>
    <row r="12" spans="1:14" x14ac:dyDescent="0.25">
      <c r="A12" s="23" t="s">
        <v>30</v>
      </c>
      <c r="B12" s="29">
        <v>607683</v>
      </c>
      <c r="C12" s="29">
        <v>614037</v>
      </c>
      <c r="D12" s="29">
        <v>668839</v>
      </c>
      <c r="E12" s="29">
        <v>672374</v>
      </c>
      <c r="F12" s="29">
        <v>658618</v>
      </c>
      <c r="G12" s="29">
        <v>661986</v>
      </c>
      <c r="H12" s="29">
        <v>648095</v>
      </c>
      <c r="I12" s="29">
        <v>627273</v>
      </c>
      <c r="J12" s="29">
        <v>611336</v>
      </c>
      <c r="K12" s="29">
        <v>476419</v>
      </c>
      <c r="L12" s="29">
        <v>497291</v>
      </c>
      <c r="M12" s="29">
        <v>530948</v>
      </c>
      <c r="N12" s="29">
        <v>7274899</v>
      </c>
    </row>
    <row r="13" spans="1:14" x14ac:dyDescent="0.25">
      <c r="A13" s="23" t="s">
        <v>31</v>
      </c>
      <c r="B13" s="29">
        <v>369899</v>
      </c>
      <c r="C13" s="29">
        <v>384584</v>
      </c>
      <c r="D13" s="29">
        <v>377435</v>
      </c>
      <c r="E13" s="29">
        <v>369375</v>
      </c>
      <c r="F13" s="29">
        <v>363288</v>
      </c>
      <c r="G13" s="29">
        <v>362839</v>
      </c>
      <c r="H13" s="29">
        <v>362746</v>
      </c>
      <c r="I13" s="29">
        <v>348629</v>
      </c>
      <c r="J13" s="29">
        <v>341038</v>
      </c>
      <c r="K13" s="29">
        <v>276613</v>
      </c>
      <c r="L13" s="29">
        <v>292777</v>
      </c>
      <c r="M13" s="29">
        <v>303938</v>
      </c>
      <c r="N13" s="29">
        <v>4153161</v>
      </c>
    </row>
    <row r="14" spans="1:14" x14ac:dyDescent="0.25">
      <c r="A14" s="23" t="s">
        <v>32</v>
      </c>
      <c r="B14" s="29">
        <v>120051</v>
      </c>
      <c r="C14" s="29">
        <v>119490</v>
      </c>
      <c r="D14" s="29">
        <v>124621</v>
      </c>
      <c r="E14" s="29">
        <v>132399</v>
      </c>
      <c r="F14" s="29">
        <v>136945</v>
      </c>
      <c r="G14" s="29">
        <v>134497</v>
      </c>
      <c r="H14" s="29">
        <v>133592</v>
      </c>
      <c r="I14" s="29">
        <v>130291</v>
      </c>
      <c r="J14" s="29">
        <v>122328</v>
      </c>
      <c r="K14" s="29">
        <v>104703</v>
      </c>
      <c r="L14" s="29">
        <v>111179</v>
      </c>
      <c r="M14" s="29">
        <v>122307</v>
      </c>
      <c r="N14" s="29">
        <v>1492403</v>
      </c>
    </row>
    <row r="15" spans="1:14" x14ac:dyDescent="0.25">
      <c r="A15" s="23" t="s">
        <v>33</v>
      </c>
      <c r="B15" s="29">
        <v>128730</v>
      </c>
      <c r="C15" s="29">
        <v>127492</v>
      </c>
      <c r="D15" s="29">
        <v>122103</v>
      </c>
      <c r="E15" s="29">
        <v>123175</v>
      </c>
      <c r="F15" s="29">
        <v>125369</v>
      </c>
      <c r="G15" s="29">
        <v>129761</v>
      </c>
      <c r="H15" s="29">
        <v>128016</v>
      </c>
      <c r="I15" s="29">
        <v>126925</v>
      </c>
      <c r="J15" s="29">
        <v>123676</v>
      </c>
      <c r="K15" s="29">
        <v>103004</v>
      </c>
      <c r="L15" s="29">
        <v>105832</v>
      </c>
      <c r="M15" s="29">
        <v>107416</v>
      </c>
      <c r="N15" s="29">
        <v>1451499</v>
      </c>
    </row>
    <row r="16" spans="1:14" x14ac:dyDescent="0.25">
      <c r="A16" s="23" t="s">
        <v>35</v>
      </c>
      <c r="B16" s="29">
        <v>47634</v>
      </c>
      <c r="C16" s="29">
        <v>50410</v>
      </c>
      <c r="D16" s="29">
        <v>51658</v>
      </c>
      <c r="E16" s="29">
        <v>52542</v>
      </c>
      <c r="F16" s="29">
        <v>53357</v>
      </c>
      <c r="G16" s="29">
        <v>53410</v>
      </c>
      <c r="H16" s="29">
        <v>52212</v>
      </c>
      <c r="I16" s="29">
        <v>52571</v>
      </c>
      <c r="J16" s="29">
        <v>50654</v>
      </c>
      <c r="K16" s="29">
        <v>43984</v>
      </c>
      <c r="L16" s="29">
        <v>45545</v>
      </c>
      <c r="M16" s="29">
        <v>52390</v>
      </c>
      <c r="N16" s="29">
        <v>606367</v>
      </c>
    </row>
    <row r="17" spans="1:14" x14ac:dyDescent="0.25">
      <c r="A17" s="23" t="s">
        <v>34</v>
      </c>
      <c r="B17" s="29">
        <v>118767</v>
      </c>
      <c r="C17" s="29">
        <v>123313</v>
      </c>
      <c r="D17" s="29">
        <v>121302</v>
      </c>
      <c r="E17" s="29">
        <v>121974</v>
      </c>
      <c r="F17" s="29">
        <v>121902</v>
      </c>
      <c r="G17" s="29">
        <v>123684</v>
      </c>
      <c r="H17" s="29">
        <v>123515</v>
      </c>
      <c r="I17" s="29">
        <v>123849</v>
      </c>
      <c r="J17" s="29">
        <v>115390</v>
      </c>
      <c r="K17" s="29">
        <v>95772</v>
      </c>
      <c r="L17" s="29">
        <v>105490</v>
      </c>
      <c r="M17" s="29">
        <v>115084</v>
      </c>
      <c r="N17" s="29">
        <v>1410042</v>
      </c>
    </row>
    <row r="18" spans="1:14" x14ac:dyDescent="0.25">
      <c r="A18" s="23" t="s">
        <v>36</v>
      </c>
      <c r="B18" s="29">
        <v>466298</v>
      </c>
      <c r="C18" s="29">
        <v>486688</v>
      </c>
      <c r="D18" s="29">
        <v>501220</v>
      </c>
      <c r="E18" s="29">
        <v>517464</v>
      </c>
      <c r="F18" s="29">
        <v>514596</v>
      </c>
      <c r="G18" s="29">
        <v>516318</v>
      </c>
      <c r="H18" s="29">
        <v>510136</v>
      </c>
      <c r="I18" s="29">
        <v>467536</v>
      </c>
      <c r="J18" s="29">
        <v>432299</v>
      </c>
      <c r="K18" s="29">
        <v>333857</v>
      </c>
      <c r="L18" s="29">
        <v>358312</v>
      </c>
      <c r="M18" s="29">
        <v>397314</v>
      </c>
      <c r="N18" s="29">
        <v>5502038</v>
      </c>
    </row>
    <row r="19" spans="1:14" x14ac:dyDescent="0.25">
      <c r="A19" s="23" t="s">
        <v>56</v>
      </c>
      <c r="B19" s="29">
        <v>2224792</v>
      </c>
      <c r="C19" s="29">
        <v>2272111</v>
      </c>
      <c r="D19" s="29">
        <v>2329449</v>
      </c>
      <c r="E19" s="29">
        <v>2335528</v>
      </c>
      <c r="F19" s="29">
        <v>2310974</v>
      </c>
      <c r="G19" s="29">
        <v>2319617</v>
      </c>
      <c r="H19" s="29">
        <v>2285253</v>
      </c>
      <c r="I19" s="29">
        <v>2205723</v>
      </c>
      <c r="J19" s="29">
        <v>2116778</v>
      </c>
      <c r="K19" s="29">
        <v>1704947</v>
      </c>
      <c r="L19" s="29">
        <v>1803206</v>
      </c>
      <c r="M19" s="29">
        <v>1938089</v>
      </c>
      <c r="N19" s="29">
        <v>25846467</v>
      </c>
    </row>
    <row r="21" spans="1:14" ht="18.75" x14ac:dyDescent="0.3">
      <c r="A21" s="42" t="s">
        <v>66</v>
      </c>
      <c r="B21" s="42"/>
      <c r="C21" s="42"/>
      <c r="D21" s="42"/>
      <c r="E21" s="42"/>
      <c r="F21" s="42"/>
      <c r="G21" s="42"/>
      <c r="H21" s="42"/>
      <c r="I21" s="42"/>
      <c r="J21" s="42"/>
      <c r="K21" s="42"/>
      <c r="L21" s="42"/>
      <c r="M21" s="42"/>
      <c r="N21" s="42"/>
    </row>
    <row r="40" spans="1:14" ht="18.75" x14ac:dyDescent="0.3">
      <c r="A40" s="42" t="s">
        <v>67</v>
      </c>
      <c r="B40" s="42"/>
      <c r="C40" s="42"/>
      <c r="D40" s="42"/>
      <c r="E40" s="42"/>
      <c r="F40" s="42"/>
      <c r="G40" s="42"/>
      <c r="H40" s="42"/>
      <c r="I40" s="42"/>
      <c r="J40" s="42"/>
      <c r="K40" s="42"/>
      <c r="L40" s="42"/>
      <c r="M40" s="42"/>
      <c r="N40" s="42"/>
    </row>
    <row r="42" spans="1:14" x14ac:dyDescent="0.25">
      <c r="B42" s="24" t="s">
        <v>57</v>
      </c>
    </row>
    <row r="43" spans="1:14" x14ac:dyDescent="0.25">
      <c r="A43" s="23" t="s">
        <v>38</v>
      </c>
      <c r="B43" s="29">
        <v>1402749</v>
      </c>
    </row>
    <row r="44" spans="1:14" x14ac:dyDescent="0.25">
      <c r="A44" s="23" t="s">
        <v>17</v>
      </c>
      <c r="B44" s="29">
        <v>7320647</v>
      </c>
    </row>
    <row r="45" spans="1:14" x14ac:dyDescent="0.25">
      <c r="A45" s="23" t="s">
        <v>39</v>
      </c>
      <c r="B45" s="29">
        <v>1428725</v>
      </c>
    </row>
    <row r="46" spans="1:14" x14ac:dyDescent="0.25">
      <c r="A46" s="23" t="s">
        <v>42</v>
      </c>
      <c r="B46" s="29">
        <v>3687220</v>
      </c>
    </row>
    <row r="47" spans="1:14" x14ac:dyDescent="0.25">
      <c r="A47" s="23" t="s">
        <v>41</v>
      </c>
      <c r="B47" s="29">
        <v>5498899</v>
      </c>
    </row>
    <row r="48" spans="1:14" x14ac:dyDescent="0.25">
      <c r="A48" s="23" t="s">
        <v>40</v>
      </c>
      <c r="B48" s="29">
        <v>5866331</v>
      </c>
    </row>
    <row r="49" spans="1:2" x14ac:dyDescent="0.25">
      <c r="A49" s="23" t="s">
        <v>37</v>
      </c>
      <c r="B49" s="29">
        <v>641896</v>
      </c>
    </row>
    <row r="50" spans="1:2" x14ac:dyDescent="0.25">
      <c r="A50" s="23" t="s">
        <v>56</v>
      </c>
      <c r="B50" s="29">
        <v>25846467</v>
      </c>
    </row>
  </sheetData>
  <mergeCells count="4">
    <mergeCell ref="A21:N21"/>
    <mergeCell ref="A1:N3"/>
    <mergeCell ref="A6:N6"/>
    <mergeCell ref="A40:N40"/>
  </mergeCells>
  <conditionalFormatting pivot="1" sqref="B10:M18">
    <cfRule type="colorScale" priority="3">
      <colorScale>
        <cfvo type="min"/>
        <cfvo type="max"/>
        <color rgb="FFFCFCFF"/>
        <color rgb="FFF8696B"/>
      </colorScale>
    </cfRule>
  </conditionalFormatting>
  <pageMargins left="0.7" right="0.7" top="0.75" bottom="0.75" header="0.3" footer="0.3"/>
  <pageSetup paperSize="9" orientation="portrait" horizontalDpi="200" verticalDpi="200"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E4E10-5123-4829-B89A-09A37EBBE380}">
  <dimension ref="A1:I24"/>
  <sheetViews>
    <sheetView showGridLines="0" topLeftCell="A9" zoomScale="92" zoomScaleNormal="92" workbookViewId="0">
      <selection activeCell="D8" sqref="D8"/>
    </sheetView>
  </sheetViews>
  <sheetFormatPr defaultRowHeight="15" x14ac:dyDescent="0.25"/>
  <cols>
    <col min="1" max="1" width="20.28515625" bestFit="1" customWidth="1"/>
    <col min="2" max="2" width="28.42578125" bestFit="1" customWidth="1"/>
    <col min="3" max="3" width="8.28515625" bestFit="1" customWidth="1"/>
    <col min="4" max="4" width="96.140625" customWidth="1"/>
    <col min="5" max="5" width="12.42578125" customWidth="1"/>
  </cols>
  <sheetData>
    <row r="1" spans="1:9" ht="15.75" customHeight="1" x14ac:dyDescent="0.65">
      <c r="A1" s="31" t="s">
        <v>0</v>
      </c>
      <c r="B1" s="31"/>
      <c r="C1" s="31"/>
      <c r="D1" s="31"/>
      <c r="E1" s="2"/>
      <c r="F1" s="2"/>
      <c r="G1" s="2"/>
      <c r="H1" s="2"/>
      <c r="I1" s="2"/>
    </row>
    <row r="2" spans="1:9" ht="15" customHeight="1" x14ac:dyDescent="0.65">
      <c r="A2" s="31"/>
      <c r="B2" s="31"/>
      <c r="C2" s="31"/>
      <c r="D2" s="31"/>
      <c r="E2" s="2"/>
      <c r="F2" s="2"/>
      <c r="G2" s="2"/>
      <c r="H2" s="2"/>
      <c r="I2" s="2"/>
    </row>
    <row r="3" spans="1:9" ht="15" customHeight="1" x14ac:dyDescent="0.65">
      <c r="A3" s="31"/>
      <c r="B3" s="31"/>
      <c r="C3" s="31"/>
      <c r="D3" s="31"/>
      <c r="E3" s="2"/>
      <c r="F3" s="2"/>
      <c r="G3" s="2"/>
      <c r="H3" s="2"/>
      <c r="I3" s="2"/>
    </row>
    <row r="5" spans="1:9" ht="15.75" x14ac:dyDescent="0.25">
      <c r="A5" s="6"/>
      <c r="B5" s="7"/>
      <c r="C5" s="6"/>
      <c r="D5" s="1"/>
      <c r="E5" s="1"/>
    </row>
    <row r="6" spans="1:9" ht="15.75" x14ac:dyDescent="0.25">
      <c r="A6" s="17" t="s">
        <v>47</v>
      </c>
      <c r="B6" s="18" t="s">
        <v>1</v>
      </c>
      <c r="C6" s="19" t="s">
        <v>2</v>
      </c>
      <c r="D6" s="20" t="s">
        <v>48</v>
      </c>
      <c r="E6" s="1"/>
    </row>
    <row r="7" spans="1:9" ht="80.25" customHeight="1" x14ac:dyDescent="0.25">
      <c r="A7" s="10" t="s">
        <v>10</v>
      </c>
      <c r="B7" s="11" t="s">
        <v>65</v>
      </c>
      <c r="C7" s="11" t="s">
        <v>65</v>
      </c>
      <c r="D7" s="13" t="s">
        <v>72</v>
      </c>
      <c r="E7" s="1"/>
    </row>
    <row r="8" spans="1:9" ht="181.5" customHeight="1" x14ac:dyDescent="0.25">
      <c r="A8" s="10" t="s">
        <v>4</v>
      </c>
      <c r="B8" s="11" t="s">
        <v>65</v>
      </c>
      <c r="C8" s="12" t="s">
        <v>65</v>
      </c>
      <c r="D8" s="13" t="s">
        <v>73</v>
      </c>
      <c r="E8" s="1"/>
    </row>
    <row r="9" spans="1:9" ht="47.25" x14ac:dyDescent="0.25">
      <c r="A9" s="10" t="s">
        <v>54</v>
      </c>
      <c r="B9" s="11" t="s">
        <v>65</v>
      </c>
      <c r="C9" s="11" t="s">
        <v>65</v>
      </c>
      <c r="D9" s="13" t="s">
        <v>69</v>
      </c>
      <c r="E9" s="1"/>
    </row>
    <row r="10" spans="1:9" ht="15.75" x14ac:dyDescent="0.25">
      <c r="A10" s="14" t="s">
        <v>3</v>
      </c>
      <c r="B10" s="15" t="s">
        <v>65</v>
      </c>
      <c r="C10" s="15">
        <f>ROWS(Crime_Category_filt)</f>
        <v>756</v>
      </c>
      <c r="D10" s="14" t="s">
        <v>70</v>
      </c>
      <c r="E10" s="1"/>
    </row>
    <row r="11" spans="1:9" ht="15.75" x14ac:dyDescent="0.25">
      <c r="A11" s="14" t="s">
        <v>5</v>
      </c>
      <c r="B11" s="15" t="s">
        <v>64</v>
      </c>
      <c r="C11" s="15" t="s">
        <v>65</v>
      </c>
      <c r="D11" s="27" t="s">
        <v>63</v>
      </c>
      <c r="E11" s="1"/>
    </row>
    <row r="12" spans="1:9" ht="51.75" customHeight="1" x14ac:dyDescent="0.25">
      <c r="A12" s="10" t="s">
        <v>6</v>
      </c>
      <c r="B12" s="12" t="s">
        <v>50</v>
      </c>
      <c r="C12" s="11" t="s">
        <v>65</v>
      </c>
      <c r="D12" s="21" t="s">
        <v>62</v>
      </c>
      <c r="E12" s="1"/>
    </row>
    <row r="13" spans="1:9" ht="15.75" x14ac:dyDescent="0.25">
      <c r="A13" s="14" t="s">
        <v>7</v>
      </c>
      <c r="B13" s="15" t="s">
        <v>65</v>
      </c>
      <c r="C13" s="15" t="s">
        <v>65</v>
      </c>
      <c r="D13" s="14" t="s">
        <v>63</v>
      </c>
      <c r="E13" s="1"/>
    </row>
    <row r="14" spans="1:9" ht="31.5" x14ac:dyDescent="0.25">
      <c r="A14" s="21" t="s">
        <v>49</v>
      </c>
      <c r="B14" s="11" t="s">
        <v>65</v>
      </c>
      <c r="C14" s="11" t="s">
        <v>65</v>
      </c>
      <c r="D14" s="28" t="s">
        <v>63</v>
      </c>
      <c r="E14" s="1"/>
    </row>
    <row r="15" spans="1:9" ht="107.25" customHeight="1" x14ac:dyDescent="0.25">
      <c r="A15" s="32" t="s">
        <v>8</v>
      </c>
      <c r="B15" s="12" t="s">
        <v>52</v>
      </c>
      <c r="C15" s="30">
        <f>data!K56</f>
        <v>190201</v>
      </c>
      <c r="D15" s="13" t="s">
        <v>59</v>
      </c>
      <c r="E15" s="1"/>
    </row>
    <row r="16" spans="1:9" ht="99.75" customHeight="1" x14ac:dyDescent="0.25">
      <c r="A16" s="32"/>
      <c r="B16" s="16" t="s">
        <v>51</v>
      </c>
      <c r="C16" s="11">
        <f>data!K72</f>
        <v>588</v>
      </c>
      <c r="D16" s="13" t="s">
        <v>53</v>
      </c>
      <c r="E16" s="1"/>
    </row>
    <row r="17" spans="1:5" ht="15.75" x14ac:dyDescent="0.25">
      <c r="A17" s="14" t="s">
        <v>9</v>
      </c>
      <c r="B17" s="15" t="s">
        <v>65</v>
      </c>
      <c r="C17" s="15" t="s">
        <v>65</v>
      </c>
      <c r="D17" s="14" t="s">
        <v>63</v>
      </c>
      <c r="E17" s="1"/>
    </row>
    <row r="18" spans="1:5" ht="15.75" x14ac:dyDescent="0.25">
      <c r="A18" s="1"/>
      <c r="B18" s="1"/>
      <c r="C18" s="1"/>
      <c r="D18" s="1"/>
      <c r="E18" s="1"/>
    </row>
    <row r="19" spans="1:5" ht="15.75" x14ac:dyDescent="0.25">
      <c r="A19" s="1"/>
      <c r="B19" s="1"/>
      <c r="C19" s="1"/>
      <c r="D19" s="1"/>
      <c r="E19" s="1"/>
    </row>
    <row r="20" spans="1:5" ht="53.25" customHeight="1" x14ac:dyDescent="0.25">
      <c r="A20" s="18" t="s">
        <v>55</v>
      </c>
      <c r="B20" s="33" t="s">
        <v>71</v>
      </c>
      <c r="C20" s="34"/>
      <c r="D20" s="35"/>
      <c r="E20" s="1"/>
    </row>
    <row r="21" spans="1:5" ht="15.75" x14ac:dyDescent="0.25">
      <c r="A21" s="1"/>
      <c r="B21" s="1"/>
      <c r="C21" s="1"/>
      <c r="D21" s="1"/>
      <c r="E21" s="1"/>
    </row>
    <row r="22" spans="1:5" ht="15.75" x14ac:dyDescent="0.25">
      <c r="A22" s="1"/>
      <c r="B22" s="1"/>
      <c r="C22" s="1"/>
      <c r="D22" s="1"/>
      <c r="E22" s="1"/>
    </row>
    <row r="23" spans="1:5" ht="15.75" x14ac:dyDescent="0.25">
      <c r="A23" s="1"/>
      <c r="B23" s="1"/>
      <c r="C23" s="1"/>
      <c r="D23" s="1"/>
      <c r="E23" s="1"/>
    </row>
    <row r="24" spans="1:5" ht="15.75" x14ac:dyDescent="0.25">
      <c r="A24" s="1"/>
      <c r="B24" s="1"/>
      <c r="C24" s="1"/>
      <c r="D24" s="1"/>
      <c r="E24" s="1"/>
    </row>
  </sheetData>
  <mergeCells count="3">
    <mergeCell ref="A1:D3"/>
    <mergeCell ref="A15:A16"/>
    <mergeCell ref="B20:D20"/>
  </mergeCells>
  <phoneticPr fontId="3" type="noConversion"/>
  <pageMargins left="0.7" right="0.7" top="0.75" bottom="0.75" header="0.3" footer="0.3"/>
  <pageSetup paperSize="9" orientation="portrait"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5CCB20-E30A-4895-8BC1-903449726E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11</vt:i4>
      </vt:variant>
    </vt:vector>
  </HeadingPairs>
  <TitlesOfParts>
    <vt:vector size="14" baseType="lpstr">
      <vt:lpstr>data</vt:lpstr>
      <vt:lpstr>summary</vt:lpstr>
      <vt:lpstr>checklist</vt:lpstr>
      <vt:lpstr>Count_filt</vt:lpstr>
      <vt:lpstr>Count_original</vt:lpstr>
      <vt:lpstr>Count_za</vt:lpstr>
      <vt:lpstr>Crime_Category_filt</vt:lpstr>
      <vt:lpstr>Crime_Category_original</vt:lpstr>
      <vt:lpstr>Crime_Category_za</vt:lpstr>
      <vt:lpstr>Financial_Year_filt</vt:lpstr>
      <vt:lpstr>Financial_Year_original</vt:lpstr>
      <vt:lpstr>Financial_Year_za</vt:lpstr>
      <vt:lpstr>Geography_filt</vt:lpstr>
      <vt:lpstr>Geography_original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Pillay</dc:creator>
  <cp:lastModifiedBy>Joshua Pillay</cp:lastModifiedBy>
  <dcterms:created xsi:type="dcterms:W3CDTF">2026-04-13T14:06:07Z</dcterms:created>
  <dcterms:modified xsi:type="dcterms:W3CDTF">2026-05-25T07:27:57Z</dcterms:modified>
</cp:coreProperties>
</file>